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ed January 2021" sheetId="1" r:id="rId5"/>
    <sheet state="visible" name="Farms" sheetId="2" r:id="rId6"/>
    <sheet state="visible" name="Fields" sheetId="3" r:id="rId7"/>
    <sheet state="visible" name="Workers" sheetId="4" r:id="rId8"/>
    <sheet state="visible" name="Suppliers" sheetId="5" r:id="rId9"/>
    <sheet state="visible" name="Customer" sheetId="6" r:id="rId10"/>
    <sheet state="visible" name="Outputs" sheetId="7" r:id="rId11"/>
    <sheet state="visible" name="Inputs" sheetId="8" r:id="rId12"/>
    <sheet state="visible" name="Equipment" sheetId="9" r:id="rId13"/>
    <sheet state="visible" name="Equipment 2" sheetId="10" r:id="rId14"/>
    <sheet state="visible" name="Sheep Flock" sheetId="11" r:id="rId15"/>
    <sheet state="visible" name="Rooibos - JOHAN BRAND - Werklik" sheetId="12" r:id="rId16"/>
    <sheet state="visible" name="Rooibos - Johan Brand - Oeskatt" sheetId="13" r:id="rId17"/>
    <sheet state="hidden" name="Copy of Oeskatting" sheetId="14" r:id="rId18"/>
  </sheets>
  <definedNames>
    <definedName hidden="1" localSheetId="11" name="Z_8E7D93D1_27AC_47E0_8977_BB00ACC6E971_.wvu.FilterData">'Rooibos - JOHAN BRAND - Werklik'!$A$59:$AA$113</definedName>
    <definedName hidden="1" localSheetId="11" name="Z_FD539389_92EA_4EC1_8A9B_FCF0EF874228_.wvu.FilterData">'Rooibos - JOHAN BRAND - Werklik'!$A$59:$AA$113</definedName>
  </definedNames>
  <calcPr/>
  <customWorkbookViews>
    <customWorkbookView activeSheetId="0" maximized="1" windowHeight="0" windowWidth="0" guid="{FD539389-92EA-4EC1-8A9B-FCF0EF874228}" name="Planting Year"/>
    <customWorkbookView activeSheetId="0" maximized="1" windowHeight="0" windowWidth="0" guid="{8E7D93D1-27AC-47E0-8977-BB00ACC6E971}" name="Per Farm"/>
  </customWorkbookViews>
  <pivotCaches>
    <pivotCache cacheId="0" r:id="rId19"/>
  </pivotCaches>
</workbook>
</file>

<file path=xl/sharedStrings.xml><?xml version="1.0" encoding="utf-8"?>
<sst xmlns="http://schemas.openxmlformats.org/spreadsheetml/2006/main" count="3972" uniqueCount="1243">
  <si>
    <t>Diverse Costs</t>
  </si>
  <si>
    <t>Difference</t>
  </si>
  <si>
    <t>Forecasted Full 2020/2021</t>
  </si>
  <si>
    <t>2020/2021 (Incomplete)</t>
  </si>
  <si>
    <t>2019/2020</t>
  </si>
  <si>
    <t>2018/2019</t>
  </si>
  <si>
    <t>Bank costs</t>
  </si>
  <si>
    <t>Bemarkingskostes</t>
  </si>
  <si>
    <t>Bemesting and Gifstowwe</t>
  </si>
  <si>
    <t>Protective Clothing</t>
  </si>
  <si>
    <t>Diesel</t>
  </si>
  <si>
    <t>Skryfbehoeftes</t>
  </si>
  <si>
    <t>Electricity</t>
  </si>
  <si>
    <t>Erfelasting</t>
  </si>
  <si>
    <t>Finansieringskostes</t>
  </si>
  <si>
    <t>Huurbetaal</t>
  </si>
  <si>
    <t>Instandhouding - Besproeing</t>
  </si>
  <si>
    <t>Instandhouding - Implemente en Toerusting</t>
  </si>
  <si>
    <t>Kommunikasiekostes - Selluler</t>
  </si>
  <si>
    <t>Kommunikasiekostes - Posgeld</t>
  </si>
  <si>
    <t>Kommunikasiekostes - Internet</t>
  </si>
  <si>
    <t>Kommunikasiekostes - Telefoon</t>
  </si>
  <si>
    <t>Ledegelde</t>
  </si>
  <si>
    <t>Lisensies</t>
  </si>
  <si>
    <t>Oesdeel</t>
  </si>
  <si>
    <t>Oeskoste van Druiwe</t>
  </si>
  <si>
    <t>Regskostes- Skuldinvordering</t>
  </si>
  <si>
    <t>Regskostes- Kapitale uitgawes</t>
  </si>
  <si>
    <t>Reis en Verblyf: Plaaslik</t>
  </si>
  <si>
    <t>Reis en Verblyf: Buiteland</t>
  </si>
  <si>
    <t>Rekenmeestergelde</t>
  </si>
  <si>
    <t>Forecasted</t>
  </si>
  <si>
    <t>Saad &amp; Plantmateriaal</t>
  </si>
  <si>
    <t>S&amp;L 2020</t>
  </si>
  <si>
    <t>S&amp;L Full 2020</t>
  </si>
  <si>
    <t>S &amp; L - Salarisse</t>
  </si>
  <si>
    <t>S&amp;L 2019</t>
  </si>
  <si>
    <t>S &amp; L - Lone</t>
  </si>
  <si>
    <t>S&amp;L 2018</t>
  </si>
  <si>
    <t>S &amp; L - Werkloosheidsversekering</t>
  </si>
  <si>
    <t>S &amp; L - Rantsoene</t>
  </si>
  <si>
    <t>S &amp; L - Personeelvoordele</t>
  </si>
  <si>
    <t>S &amp; L - Teesaad</t>
  </si>
  <si>
    <t>S &amp; L - Ongevalleversekering</t>
  </si>
  <si>
    <t>Sekuriteit</t>
  </si>
  <si>
    <t>Veemedisyne en -doserings</t>
  </si>
  <si>
    <t>Veevoer</t>
  </si>
  <si>
    <t>Verbeteringe - Aanplantings en opleiding</t>
  </si>
  <si>
    <t>Verbeteringe - Geboue</t>
  </si>
  <si>
    <t>Verpakkingsmateriaal</t>
  </si>
  <si>
    <t>Versekering</t>
  </si>
  <si>
    <t>Vervoerkostes</t>
  </si>
  <si>
    <t>Waterbelasting</t>
  </si>
  <si>
    <t xml:space="preserve">Total </t>
  </si>
  <si>
    <t>Income</t>
  </si>
  <si>
    <t>Sales: Tea</t>
  </si>
  <si>
    <t>Sales: Wol</t>
  </si>
  <si>
    <t>Sales: Wyn</t>
  </si>
  <si>
    <t>Sales: Livestock</t>
  </si>
  <si>
    <t>Interest Received</t>
  </si>
  <si>
    <t>Dividend Received</t>
  </si>
  <si>
    <t>Verkoop van nie-bedryfsbate</t>
  </si>
  <si>
    <t>Diverse Income</t>
  </si>
  <si>
    <t>Total</t>
  </si>
  <si>
    <t>ID</t>
  </si>
  <si>
    <t>Farm Name</t>
  </si>
  <si>
    <t>Status</t>
  </si>
  <si>
    <t>Relationship</t>
  </si>
  <si>
    <t>Province/District</t>
  </si>
  <si>
    <t>Title Deed / Notes</t>
  </si>
  <si>
    <t>Nearest Town</t>
  </si>
  <si>
    <t>Distance from Cloudskraal (km)</t>
  </si>
  <si>
    <t>Size (ha)</t>
  </si>
  <si>
    <t>Primary Enterprise</t>
  </si>
  <si>
    <t>Annual Production Capacity</t>
  </si>
  <si>
    <t>Water Source</t>
  </si>
  <si>
    <t>Power</t>
  </si>
  <si>
    <t>Key Infrastructure</t>
  </si>
  <si>
    <t>Soil/Topo Notes</t>
  </si>
  <si>
    <t>GPS (lat,lon)</t>
  </si>
  <si>
    <t>Ownership/Counterparty</t>
  </si>
  <si>
    <t>Contact</t>
  </si>
  <si>
    <t>Deal Terms</t>
  </si>
  <si>
    <t>Capex Needed (R)</t>
  </si>
  <si>
    <t>Opex/Yr (R)</t>
  </si>
  <si>
    <t>Target ROI/IRR (%)</t>
  </si>
  <si>
    <t>Strategic Fit</t>
  </si>
  <si>
    <t>Risk Level</t>
  </si>
  <si>
    <t>Priority</t>
  </si>
  <si>
    <t>Next Action</t>
  </si>
  <si>
    <t>Owner</t>
  </si>
  <si>
    <t>Target Date (yyyy-mm-dd)</t>
  </si>
  <si>
    <t>Notes</t>
  </si>
  <si>
    <t>Readiness Score (0–100)</t>
  </si>
  <si>
    <t>CLO001</t>
  </si>
  <si>
    <t>Cloudskraal</t>
  </si>
  <si>
    <t>Operating</t>
  </si>
  <si>
    <t>Own</t>
  </si>
  <si>
    <t>Northern Cape</t>
  </si>
  <si>
    <t>Nieuwoudtville</t>
  </si>
  <si>
    <t>Rooibos</t>
  </si>
  <si>
    <t>500 cattle</t>
  </si>
  <si>
    <t>River</t>
  </si>
  <si>
    <t>Solar</t>
  </si>
  <si>
    <t>Homestead, Tea Courts, Sheds</t>
  </si>
  <si>
    <t>Clay</t>
  </si>
  <si>
    <t>-33.00, 19.50</t>
  </si>
  <si>
    <t>Self</t>
  </si>
  <si>
    <t>Jane Smith</t>
  </si>
  <si>
    <t>N/A</t>
  </si>
  <si>
    <t>Core</t>
  </si>
  <si>
    <t>Low</t>
  </si>
  <si>
    <t>P1</t>
  </si>
  <si>
    <t>Bob</t>
  </si>
  <si>
    <t>Key operational farm.</t>
  </si>
  <si>
    <t>GAR002</t>
  </si>
  <si>
    <t>Garsland</t>
  </si>
  <si>
    <t>20 tons</t>
  </si>
  <si>
    <t>Borehole</t>
  </si>
  <si>
    <t>Homestead, Sheds, Dams</t>
  </si>
  <si>
    <t>Sandy Loam</t>
  </si>
  <si>
    <t>-33.34, 19.33</t>
  </si>
  <si>
    <t>AgriCo</t>
  </si>
  <si>
    <t>John Doe</t>
  </si>
  <si>
    <t>Term Sheet</t>
  </si>
  <si>
    <t>Med</t>
  </si>
  <si>
    <t>Due Diligence</t>
  </si>
  <si>
    <t>Alice</t>
  </si>
  <si>
    <t>Initial assessment looks good.</t>
  </si>
  <si>
    <t>GLE003</t>
  </si>
  <si>
    <t>Glenridge Leeus</t>
  </si>
  <si>
    <t>300 tons</t>
  </si>
  <si>
    <t>Cellar</t>
  </si>
  <si>
    <t>Granite</t>
  </si>
  <si>
    <t>-33.45, 18.67</t>
  </si>
  <si>
    <t>Eva Brown</t>
  </si>
  <si>
    <t>Harvest Prep</t>
  </si>
  <si>
    <t>Stable production.</t>
  </si>
  <si>
    <t>GLE004</t>
  </si>
  <si>
    <t xml:space="preserve">Glenridge Kerk </t>
  </si>
  <si>
    <t>Livestock</t>
  </si>
  <si>
    <t>BIE005</t>
  </si>
  <si>
    <t>Biekoes - Vaal</t>
  </si>
  <si>
    <t>1000 tons</t>
  </si>
  <si>
    <t>Dam</t>
  </si>
  <si>
    <t>Silo</t>
  </si>
  <si>
    <t>Loam</t>
  </si>
  <si>
    <t>-32.30, 20.00</t>
  </si>
  <si>
    <t>Farmer X</t>
  </si>
  <si>
    <t>Chris Green</t>
  </si>
  <si>
    <t>LOI</t>
  </si>
  <si>
    <t>Adjacent</t>
  </si>
  <si>
    <t>P2</t>
  </si>
  <si>
    <t>Finalize Agreement</t>
  </si>
  <si>
    <t>David</t>
  </si>
  <si>
    <t>Good potential for expansion.</t>
  </si>
  <si>
    <t>BIE006</t>
  </si>
  <si>
    <t>Biekoes -  Straatklip</t>
  </si>
  <si>
    <t>5/645</t>
  </si>
  <si>
    <t>KAR007</t>
  </si>
  <si>
    <t xml:space="preserve">Karoo - Winterplaas CL </t>
  </si>
  <si>
    <t>Western Cape</t>
  </si>
  <si>
    <t>RE/224</t>
  </si>
  <si>
    <t>400 Sheep</t>
  </si>
  <si>
    <t>None</t>
  </si>
  <si>
    <t>Kraal</t>
  </si>
  <si>
    <t>Rocky</t>
  </si>
  <si>
    <t>-33.90, 21.00</t>
  </si>
  <si>
    <t>Farmer Y</t>
  </si>
  <si>
    <t>Frank White</t>
  </si>
  <si>
    <t>MOU</t>
  </si>
  <si>
    <t>Valuation</t>
  </si>
  <si>
    <t>Requires infrastructure upgrade.</t>
  </si>
  <si>
    <t>KAR008</t>
  </si>
  <si>
    <t xml:space="preserve">Karoo CL Kromvlei </t>
  </si>
  <si>
    <t>1/224</t>
  </si>
  <si>
    <t>200 Sheep</t>
  </si>
  <si>
    <t>CLA009</t>
  </si>
  <si>
    <t>Claudskraal 645 (6/7/8/9)</t>
  </si>
  <si>
    <t>Prospective</t>
  </si>
  <si>
    <t>Occupation</t>
  </si>
  <si>
    <t>Eskom</t>
  </si>
  <si>
    <t>KLI010</t>
  </si>
  <si>
    <t>Klippe Rivier 645/(19/18/6)</t>
  </si>
  <si>
    <t>KRO011</t>
  </si>
  <si>
    <t>Kromvlei</t>
  </si>
  <si>
    <t>Negotiating</t>
  </si>
  <si>
    <t>RE/644</t>
  </si>
  <si>
    <t>KRO012</t>
  </si>
  <si>
    <t>Kromvlei Driehoek</t>
  </si>
  <si>
    <t>RE/637</t>
  </si>
  <si>
    <t>TAB013</t>
  </si>
  <si>
    <t>Tabaktuin</t>
  </si>
  <si>
    <t>No Offer</t>
  </si>
  <si>
    <t>Field Name / Identifier</t>
  </si>
  <si>
    <t>Farm Name (Linked)</t>
  </si>
  <si>
    <t>Field ID</t>
  </si>
  <si>
    <t>Perimeter (m)</t>
  </si>
  <si>
    <t>Crop / Enterprise</t>
  </si>
  <si>
    <t>Current Status</t>
  </si>
  <si>
    <t>Planting Date (yyyy-mm-dd)</t>
  </si>
  <si>
    <t>Harvest Date (yyyy-mm-dd)</t>
  </si>
  <si>
    <t>Yield Target (kg or t/ha)</t>
  </si>
  <si>
    <t>Soil Type</t>
  </si>
  <si>
    <t>Irrigation Type</t>
  </si>
  <si>
    <t>Fertility / Input Notes</t>
  </si>
  <si>
    <t>Weed / Pest Pressure</t>
  </si>
  <si>
    <t>Last Activity</t>
  </si>
  <si>
    <t>Responsible Person</t>
  </si>
  <si>
    <t>GPS / Shape ID</t>
  </si>
  <si>
    <t>% of Farm Area</t>
  </si>
  <si>
    <t>Rooibos-1</t>
  </si>
  <si>
    <t>F001</t>
  </si>
  <si>
    <t>Block R1</t>
  </si>
  <si>
    <t>Planted</t>
  </si>
  <si>
    <t>800 kg/ha</t>
  </si>
  <si>
    <t>Sand</t>
  </si>
  <si>
    <t>Drip</t>
  </si>
  <si>
    <t>Fertiliser Mix A</t>
  </si>
  <si>
    <t>Sprayed 2025-09-20</t>
  </si>
  <si>
    <t>Apply Herbicide</t>
  </si>
  <si>
    <t>[URL]</t>
  </si>
  <si>
    <t>Good growth.</t>
  </si>
  <si>
    <t>Block A</t>
  </si>
  <si>
    <t>F002</t>
  </si>
  <si>
    <t>Camp 1</t>
  </si>
  <si>
    <t>Grazing</t>
  </si>
  <si>
    <t>Pasture</t>
  </si>
  <si>
    <t>100 cattle</t>
  </si>
  <si>
    <t>Pasture rotation plan</t>
  </si>
  <si>
    <t>Checked 2025-09-28</t>
  </si>
  <si>
    <t>Move livestock</t>
  </si>
  <si>
    <t>Needs reseeding.</t>
  </si>
  <si>
    <t>Vineyard-West</t>
  </si>
  <si>
    <t>Glenridge</t>
  </si>
  <si>
    <t>F003</t>
  </si>
  <si>
    <t>Vineyard Block 3</t>
  </si>
  <si>
    <t>Vines</t>
  </si>
  <si>
    <t>10 t/ha</t>
  </si>
  <si>
    <t>Organic compost</t>
  </si>
  <si>
    <t>Medium</t>
  </si>
  <si>
    <t>Pruned 2025-09-15</t>
  </si>
  <si>
    <t>Apply Fungicide</t>
  </si>
  <si>
    <t>Eva</t>
  </si>
  <si>
    <t>Healthy vines.</t>
  </si>
  <si>
    <t>Block B</t>
  </si>
  <si>
    <t>Biekoes</t>
  </si>
  <si>
    <t>F004</t>
  </si>
  <si>
    <t>Field B</t>
  </si>
  <si>
    <t>Wheat</t>
  </si>
  <si>
    <t>5 t/ha</t>
  </si>
  <si>
    <t>Pivot</t>
  </si>
  <si>
    <t>Standard fertilising</t>
  </si>
  <si>
    <t>Sprayed 2025-09-25</t>
  </si>
  <si>
    <t>Harvest</t>
  </si>
  <si>
    <t>Anticipating good yield.</t>
  </si>
  <si>
    <t>Old Lands</t>
  </si>
  <si>
    <t>Kromvlei 244</t>
  </si>
  <si>
    <t>F005</t>
  </si>
  <si>
    <t>Historical Area</t>
  </si>
  <si>
    <t>Fallow</t>
  </si>
  <si>
    <t>Sandy</t>
  </si>
  <si>
    <t>Rainfed</t>
  </si>
  <si>
    <t>Cover crop planned</t>
  </si>
  <si>
    <t>High</t>
  </si>
  <si>
    <t>Ploughed 2025-08-10</t>
  </si>
  <si>
    <t>Plant Cover Crop</t>
  </si>
  <si>
    <t>Rest period.</t>
  </si>
  <si>
    <t>Rooibos-2</t>
  </si>
  <si>
    <t>F006</t>
  </si>
  <si>
    <t>Block R2</t>
  </si>
  <si>
    <t>Planned</t>
  </si>
  <si>
    <t>750 kg/ha</t>
  </si>
  <si>
    <t>Soil test needed</t>
  </si>
  <si>
    <t>Soil Sample 2025-09-01</t>
  </si>
  <si>
    <t>Prepare soil</t>
  </si>
  <si>
    <t>Future expansion.</t>
  </si>
  <si>
    <t>North Pasture</t>
  </si>
  <si>
    <t>F007</t>
  </si>
  <si>
    <t>Camp 2</t>
  </si>
  <si>
    <t>150 cattle</t>
  </si>
  <si>
    <t>Winter feed</t>
  </si>
  <si>
    <t>Rotated 2025-09-20</t>
  </si>
  <si>
    <t>Check fences</t>
  </si>
  <si>
    <t>Regular use.</t>
  </si>
  <si>
    <t>Vineyard-East</t>
  </si>
  <si>
    <t>F008</t>
  </si>
  <si>
    <t>Vineyard Block 1</t>
  </si>
  <si>
    <t>Harvested</t>
  </si>
  <si>
    <t>12 t/ha</t>
  </si>
  <si>
    <t>Post-harvest nutrients</t>
  </si>
  <si>
    <t>Fertilized 2025-04-10</t>
  </si>
  <si>
    <t>Winter Pruning</t>
  </si>
  <si>
    <t>Excellent quality.</t>
  </si>
  <si>
    <t>Lucerne Patch</t>
  </si>
  <si>
    <t>F009</t>
  </si>
  <si>
    <t>Small Section</t>
  </si>
  <si>
    <t>Lucerne</t>
  </si>
  <si>
    <t>Flood</t>
  </si>
  <si>
    <t>Dolomitic lime</t>
  </si>
  <si>
    <t>Irrigated 2025-09-29</t>
  </si>
  <si>
    <t>Good for livestock feed.</t>
  </si>
  <si>
    <t>Riverbank Fields</t>
  </si>
  <si>
    <t>F010</t>
  </si>
  <si>
    <t>Adjacent to River</t>
  </si>
  <si>
    <t>Other</t>
  </si>
  <si>
    <t>Mixed</t>
  </si>
  <si>
    <t>Erosion control needed</t>
  </si>
  <si>
    <t>Analysed 2025-07-01</t>
  </si>
  <si>
    <t>Erosion control</t>
  </si>
  <si>
    <t>Environmental focus.</t>
  </si>
  <si>
    <t>Supplier Name</t>
  </si>
  <si>
    <t>Legal Entity</t>
  </si>
  <si>
    <t>VAT Number</t>
  </si>
  <si>
    <t>B-BBEE Level</t>
  </si>
  <si>
    <t>Registration / CSD No</t>
  </si>
  <si>
    <t>Primary Contact</t>
  </si>
  <si>
    <t>Phone</t>
  </si>
  <si>
    <t>Email</t>
  </si>
  <si>
    <t>Website</t>
  </si>
  <si>
    <t>Physical Address</t>
  </si>
  <si>
    <t>Delivery Regions</t>
  </si>
  <si>
    <t>Product Categories</t>
  </si>
  <si>
    <t>Payment Terms</t>
  </si>
  <si>
    <t>Preferred Supplier</t>
  </si>
  <si>
    <t>Incoterms / Delivery</t>
  </si>
  <si>
    <t>Minimum Order Qty / Value</t>
  </si>
  <si>
    <t>Lead Time (days)</t>
  </si>
  <si>
    <t>Lead Time Variability</t>
  </si>
  <si>
    <t>Return Policy Summary</t>
  </si>
  <si>
    <t>Certifications</t>
  </si>
  <si>
    <t>SDS/MSDS Link</t>
  </si>
  <si>
    <t>Reliability Score</t>
  </si>
  <si>
    <t>AgriSuppliers</t>
  </si>
  <si>
    <t>Pty Ltd</t>
  </si>
  <si>
    <t>Level 2</t>
  </si>
  <si>
    <t>CSD2022-001</t>
  </si>
  <si>
    <t>John Farmer</t>
  </si>
  <si>
    <t>+27211234567</t>
  </si>
  <si>
    <t>info@agrisuppliers.co.za</t>
  </si>
  <si>
    <t>123 Farm Rd, Cape Town</t>
  </si>
  <si>
    <t>WC, EC, NC</t>
  </si>
  <si>
    <t>Fertiliser, Seed, Pesticide, Herbicide, Fuel</t>
  </si>
  <si>
    <t>30d EOM</t>
  </si>
  <si>
    <t>Delivered</t>
  </si>
  <si>
    <t>R 5,000</t>
  </si>
  <si>
    <t>30-day return for unopened products</t>
  </si>
  <si>
    <t>SANS, ISO 9001</t>
  </si>
  <si>
    <t>Excellent service, competitive pricing</t>
  </si>
  <si>
    <t>CropCare Solutions</t>
  </si>
  <si>
    <t>Level 4</t>
  </si>
  <si>
    <t>CSD2022-002</t>
  </si>
  <si>
    <t>Sarah Green</t>
  </si>
  <si>
    <t>+27217654321</t>
  </si>
  <si>
    <t>sales@cropcare.co.za</t>
  </si>
  <si>
    <t>45 Industry St, Bellville</t>
  </si>
  <si>
    <t>WC, EC</t>
  </si>
  <si>
    <t>Pesticide, Fungicide, Herbicide, PPE</t>
  </si>
  <si>
    <t>15d</t>
  </si>
  <si>
    <t>R 2,000</t>
  </si>
  <si>
    <t>Standard 14-day return</t>
  </si>
  <si>
    <t>GAP Certified</t>
  </si>
  <si>
    <t>Specializes in organic solutions</t>
  </si>
  <si>
    <t>AgroChem</t>
  </si>
  <si>
    <t>CC</t>
  </si>
  <si>
    <t>Level 3</t>
  </si>
  <si>
    <t>CSD2022-003</t>
  </si>
  <si>
    <t>Peter Pest</t>
  </si>
  <si>
    <t>+27218889999</t>
  </si>
  <si>
    <t>orders@agrochem.com</t>
  </si>
  <si>
    <t>78 Warehouse Ave, Paarl</t>
  </si>
  <si>
    <t>WC</t>
  </si>
  <si>
    <t>Herbicide, Pesticide, Fungicide</t>
  </si>
  <si>
    <t>COD</t>
  </si>
  <si>
    <t>Ex-works</t>
  </si>
  <si>
    <t>R 1,000</t>
  </si>
  <si>
    <t>No returns on opened chemicals</t>
  </si>
  <si>
    <t>SDS/MSDS available</t>
  </si>
  <si>
    <t>Good for urgent orders</t>
  </si>
  <si>
    <t>SeedMasters</t>
  </si>
  <si>
    <t>Level 1</t>
  </si>
  <si>
    <t>CSD2022-004</t>
  </si>
  <si>
    <t>Lisa Plant</t>
  </si>
  <si>
    <t>+27213334444</t>
  </si>
  <si>
    <t>hello@seedmasters.co.za</t>
  </si>
  <si>
    <t>90 Seed Ln, Malmesbury</t>
  </si>
  <si>
    <t>National</t>
  </si>
  <si>
    <t>Seed</t>
  </si>
  <si>
    <t>R 10,000</t>
  </si>
  <si>
    <t>Returns only for quality defects</t>
  </si>
  <si>
    <t>Organic Certified, SANS</t>
  </si>
  <si>
    <t>Wide variety of specialized seeds</t>
  </si>
  <si>
    <t>WaterWorks</t>
  </si>
  <si>
    <t>Level 5</t>
  </si>
  <si>
    <t>CSD2022-005</t>
  </si>
  <si>
    <t>Mark Stream</t>
  </si>
  <si>
    <t>+27216667777</t>
  </si>
  <si>
    <t>support@waterworks.net</t>
  </si>
  <si>
    <t>10 Pump Rd, Stellenbosch</t>
  </si>
  <si>
    <t>Irrigation</t>
  </si>
  <si>
    <t>60d</t>
  </si>
  <si>
    <t>R 3,000</t>
  </si>
  <si>
    <t>7-day return on faulty parts</t>
  </si>
  <si>
    <t>ISO 14001</t>
  </si>
  <si>
    <t>Reliable irrigation system supplier</t>
  </si>
  <si>
    <t>PetroFuel</t>
  </si>
  <si>
    <t>Level 8</t>
  </si>
  <si>
    <t>Nomusa Diesel</t>
  </si>
  <si>
    <t>+27215556666</t>
  </si>
  <si>
    <t>fuel@petrofuel.co.za</t>
  </si>
  <si>
    <t>50 Tanker Way, Atlantis</t>
  </si>
  <si>
    <t>Fuel</t>
  </si>
  <si>
    <t>500 L</t>
  </si>
  <si>
    <t>No returns on fuel</t>
  </si>
  <si>
    <t>Bulk fuel delivery</t>
  </si>
  <si>
    <t>LabServices</t>
  </si>
  <si>
    <t>Sole Prop</t>
  </si>
  <si>
    <t>Level 6</t>
  </si>
  <si>
    <t>Dr. Ana Test</t>
  </si>
  <si>
    <t>+27214445555</t>
  </si>
  <si>
    <t>lab@labservices.co.za</t>
  </si>
  <si>
    <t>20 Science Park, Somerset West</t>
  </si>
  <si>
    <t>Lab</t>
  </si>
  <si>
    <t>R 500</t>
  </si>
  <si>
    <t>ISO 17025</t>
  </si>
  <si>
    <t>Soil and water testing</t>
  </si>
  <si>
    <t>FarmTools</t>
  </si>
  <si>
    <t>CSD2022-006</t>
  </si>
  <si>
    <t>Sipho Gear</t>
  </si>
  <si>
    <t>+27219990000</t>
  </si>
  <si>
    <t>sales@farmtools.co.za</t>
  </si>
  <si>
    <t>11 Tractor St, Wellington</t>
  </si>
  <si>
    <t>WC, NC</t>
  </si>
  <si>
    <t>PPE, Other (Farm Equipment Parts)</t>
  </si>
  <si>
    <t>R 1,500</t>
  </si>
  <si>
    <t>30-day exchange for defective items</t>
  </si>
  <si>
    <t>SANS</t>
  </si>
  <si>
    <t>Good for specialized tools</t>
  </si>
  <si>
    <t>Customer Name</t>
  </si>
  <si>
    <t>Business Type</t>
  </si>
  <si>
    <t>Registration No / Importer No</t>
  </si>
  <si>
    <t>Delivery Region / Market</t>
  </si>
  <si>
    <t>Preferred Products</t>
  </si>
  <si>
    <t>Contract Type</t>
  </si>
  <si>
    <t>Contract Volume (annual or per cycle, with units)</t>
  </si>
  <si>
    <t>Contract Price (R/unit)</t>
  </si>
  <si>
    <t>Current Order Pipeline (live quantity ordered, R value)</t>
  </si>
  <si>
    <t>Payment Status</t>
  </si>
  <si>
    <t>Logistics / Delivery Terms</t>
  </si>
  <si>
    <t>Certifications Required</t>
  </si>
  <si>
    <t>Tea Exporters</t>
  </si>
  <si>
    <t>Exporter</t>
  </si>
  <si>
    <t>EXP-2025-001</t>
  </si>
  <si>
    <t>Emily Green</t>
  </si>
  <si>
    <t>orders@teaexporters.com</t>
  </si>
  <si>
    <t>10 Port Rd, Cape Town</t>
  </si>
  <si>
    <t>Export</t>
  </si>
  <si>
    <t>Annual</t>
  </si>
  <si>
    <t>50,000 kg</t>
  </si>
  <si>
    <t>10,000 kg, R450,000</t>
  </si>
  <si>
    <t>Good</t>
  </si>
  <si>
    <t>Organic, Export Clearance</t>
  </si>
  <si>
    <t>Long-standing export partner</t>
  </si>
  <si>
    <t>Local Winery</t>
  </si>
  <si>
    <t>Processor</t>
  </si>
  <si>
    <t>David Grape</t>
  </si>
  <si>
    <t>+27219876543</t>
  </si>
  <si>
    <t>procurement@localwinery.co.za</t>
  </si>
  <si>
    <t>20 Vine Rd, Stellenbosch</t>
  </si>
  <si>
    <t>Local</t>
  </si>
  <si>
    <t>Grapes, Wine</t>
  </si>
  <si>
    <t>Seasonal</t>
  </si>
  <si>
    <t>100,000 kg (grapes)</t>
  </si>
  <si>
    <t>20,000 kg, R250,000</t>
  </si>
  <si>
    <t>30 days</t>
  </si>
  <si>
    <t>Pending</t>
  </si>
  <si>
    <t>Ex-Farm</t>
  </si>
  <si>
    <t>HACCP</t>
  </si>
  <si>
    <t>Primary grape buyer</t>
  </si>
  <si>
    <t>Flour Mill</t>
  </si>
  <si>
    <t>Sarah Grain</t>
  </si>
  <si>
    <t>+27212345678</t>
  </si>
  <si>
    <t>purchase@flourmill.com</t>
  </si>
  <si>
    <t>30 Silo Ave, Malmesbury</t>
  </si>
  <si>
    <t>Grains</t>
  </si>
  <si>
    <t>Offtake</t>
  </si>
  <si>
    <t>15,000 t (wheat)</t>
  </si>
  <si>
    <t>5,000 t, R17,500,000</t>
  </si>
  <si>
    <t>Shared Transport</t>
  </si>
  <si>
    <t>Reliable bulk grain purchaser</t>
  </si>
  <si>
    <t>Butcher Shop</t>
  </si>
  <si>
    <t>Retailer</t>
  </si>
  <si>
    <t>Sipho Meat</t>
  </si>
  <si>
    <t>+27218765432</t>
  </si>
  <si>
    <t>orders@butchershop.co.za</t>
  </si>
  <si>
    <t>40 High St, Paarl</t>
  </si>
  <si>
    <t>Spot</t>
  </si>
  <si>
    <t>10 head, R25,000</t>
  </si>
  <si>
    <t>Buys smaller, fresh batches</t>
  </si>
  <si>
    <t>Textile Factory</t>
  </si>
  <si>
    <t>EXP-2025-002</t>
  </si>
  <si>
    <t>Lena Wool</t>
  </si>
  <si>
    <t>+27213456789</t>
  </si>
  <si>
    <t>sales@textilefactory.co.za</t>
  </si>
  <si>
    <t>50 Fabric Ln, Atlantis</t>
  </si>
  <si>
    <t>Wool</t>
  </si>
  <si>
    <t>200 bales</t>
  </si>
  <si>
    <t>50 bales, R40,000</t>
  </si>
  <si>
    <t>60d EOM</t>
  </si>
  <si>
    <t>Fairtrade, Export Clearance</t>
  </si>
  <si>
    <t>Seeking sustainable wool sources</t>
  </si>
  <si>
    <t>Supermarket Chain</t>
  </si>
  <si>
    <t>Ben Fresh</t>
  </si>
  <si>
    <t>+27214567890</t>
  </si>
  <si>
    <t>freshproduce@superchain.com</t>
  </si>
  <si>
    <t>60 Market Sq, Worcester</t>
  </si>
  <si>
    <t>Vegetables, Fruit</t>
  </si>
  <si>
    <t>5,000 kg (tomatoes)</t>
  </si>
  <si>
    <t>1,000 kg, R18,000</t>
  </si>
  <si>
    <t>HACCP, Organic</t>
  </si>
  <si>
    <t>Keen on organic produce</t>
  </si>
  <si>
    <t>Fruit Wholesaler</t>
  </si>
  <si>
    <t>Wholesaler</t>
  </si>
  <si>
    <t>Chris Fruit</t>
  </si>
  <si>
    <t>+27215678901</t>
  </si>
  <si>
    <t>info@fruitwholesaler.com</t>
  </si>
  <si>
    <t>70 Orchard Rd, Grabouw</t>
  </si>
  <si>
    <t>Fruit</t>
  </si>
  <si>
    <t>500 kg, R7,500</t>
  </si>
  <si>
    <t>Late</t>
  </si>
  <si>
    <t>Sometimes slow with payments</t>
  </si>
  <si>
    <t>Compost Solutions</t>
  </si>
  <si>
    <t>Other (Processor)</t>
  </si>
  <si>
    <t>Anna Waste</t>
  </si>
  <si>
    <t>+27216789012</t>
  </si>
  <si>
    <t>sales@compostsolutions.co.za</t>
  </si>
  <si>
    <t>80 Green Way, Strand</t>
  </si>
  <si>
    <t>By-products</t>
  </si>
  <si>
    <t>2,000 kg (grape pomace)</t>
  </si>
  <si>
    <t>500 kg, R1,250</t>
  </si>
  <si>
    <t>Buys farm waste for compost</t>
  </si>
  <si>
    <t>Brew Masters</t>
  </si>
  <si>
    <t>Mark Malt</t>
  </si>
  <si>
    <t>+27217890123</t>
  </si>
  <si>
    <t>malt@brewmasters.co.za</t>
  </si>
  <si>
    <t>90 Brewery St, George</t>
  </si>
  <si>
    <t>Grains (Barley)</t>
  </si>
  <si>
    <t>7,000 t (barley)</t>
  </si>
  <si>
    <t>1,500 t, R6,000,000</t>
  </si>
  <si>
    <t>60 days</t>
  </si>
  <si>
    <t>Key supplier for malt barley</t>
  </si>
  <si>
    <t>Local Market Stalls</t>
  </si>
  <si>
    <t>Direct Consumer</t>
  </si>
  <si>
    <t>Zola Vendor</t>
  </si>
  <si>
    <t>+27210123456</t>
  </si>
  <si>
    <t>zola@marketstalls.co.za</t>
  </si>
  <si>
    <t>100 Town Sq, Franschhoek</t>
  </si>
  <si>
    <t>Vegetables, Fruit, Other</t>
  </si>
  <si>
    <t>10 units, R1,500</t>
  </si>
  <si>
    <t>Regular small quantity buyer</t>
  </si>
  <si>
    <t>Output ID</t>
  </si>
  <si>
    <t>Date</t>
  </si>
  <si>
    <t>Field Name</t>
  </si>
  <si>
    <t>Output Category</t>
  </si>
  <si>
    <t>Product Name</t>
  </si>
  <si>
    <t>Variety / Breed</t>
  </si>
  <si>
    <t>Quantity</t>
  </si>
  <si>
    <t>Unit</t>
  </si>
  <si>
    <t>Quality Grade</t>
  </si>
  <si>
    <t>Buyer / Customer</t>
  </si>
  <si>
    <t>Destination / Market</t>
  </si>
  <si>
    <t>Price per Unit (R)</t>
  </si>
  <si>
    <t>Total Value</t>
  </si>
  <si>
    <t>Invoice / Delivery Note Ref</t>
  </si>
  <si>
    <t>Certification</t>
  </si>
  <si>
    <t>Logistics Partner</t>
  </si>
  <si>
    <t>Storage Location</t>
  </si>
  <si>
    <t>Costs Allocated (R)</t>
  </si>
  <si>
    <t>Net Margin (R)</t>
  </si>
  <si>
    <t>OUT-001</t>
  </si>
  <si>
    <t>Green Acres</t>
  </si>
  <si>
    <t>North Field</t>
  </si>
  <si>
    <t>Rooibos Grade A</t>
  </si>
  <si>
    <t>Superior Blend</t>
  </si>
  <si>
    <t>kg</t>
  </si>
  <si>
    <t>INV-RA-001</t>
  </si>
  <si>
    <t>Organic</t>
  </si>
  <si>
    <t>Global Freight</t>
  </si>
  <si>
    <t>Warehouse</t>
  </si>
  <si>
    <t>Paid</t>
  </si>
  <si>
    <t>Shipped to Germany</t>
  </si>
  <si>
    <t>OUT-002</t>
  </si>
  <si>
    <t>Sunny Fields</t>
  </si>
  <si>
    <t>East Meadow</t>
  </si>
  <si>
    <t>Grapes/Wine</t>
  </si>
  <si>
    <t>Chenin Blanc grapes</t>
  </si>
  <si>
    <t>Chenin Blanc</t>
  </si>
  <si>
    <t>A</t>
  </si>
  <si>
    <t>DN-CB-002</t>
  </si>
  <si>
    <t>GAP</t>
  </si>
  <si>
    <t>Own Transport</t>
  </si>
  <si>
    <t>Winery Cellar</t>
  </si>
  <si>
    <t>Harvested at optimal ripeness</t>
  </si>
  <si>
    <t>OUT-003</t>
  </si>
  <si>
    <t>Harvest Valley</t>
  </si>
  <si>
    <t>Central Plot</t>
  </si>
  <si>
    <t>Grain</t>
  </si>
  <si>
    <t>Wheat Grade B</t>
  </si>
  <si>
    <t>Southern Star</t>
  </si>
  <si>
    <t>t</t>
  </si>
  <si>
    <t>B</t>
  </si>
  <si>
    <t>Coop</t>
  </si>
  <si>
    <t>INV-WG-003</t>
  </si>
  <si>
    <t>Rail Logistics</t>
  </si>
  <si>
    <t>Peter Jones</t>
  </si>
  <si>
    <t>Bulk delivery completed</t>
  </si>
  <si>
    <t>OUT-004</t>
  </si>
  <si>
    <t>South Field</t>
  </si>
  <si>
    <t>Dorper Lamb</t>
  </si>
  <si>
    <t>Dorper</t>
  </si>
  <si>
    <t>head</t>
  </si>
  <si>
    <t>DN-DL-004</t>
  </si>
  <si>
    <t>Local Courier</t>
  </si>
  <si>
    <t>Cold Room</t>
  </si>
  <si>
    <t>Sarah Lee</t>
  </si>
  <si>
    <t>Delivered fresh to market</t>
  </si>
  <si>
    <t>OUT-005</t>
  </si>
  <si>
    <t>West Pasture</t>
  </si>
  <si>
    <t>Merino Wool Fine</t>
  </si>
  <si>
    <t>Merino</t>
  </si>
  <si>
    <t>bales</t>
  </si>
  <si>
    <t>INV-MW-005</t>
  </si>
  <si>
    <t>Fairtrade</t>
  </si>
  <si>
    <t>Ocean Cargo</t>
  </si>
  <si>
    <t>David Kim</t>
  </si>
  <si>
    <t>Sheared this season</t>
  </si>
  <si>
    <t>OUT-006</t>
  </si>
  <si>
    <t>River Bend</t>
  </si>
  <si>
    <t>Vegetables</t>
  </si>
  <si>
    <t>Tomatoes</t>
  </si>
  <si>
    <t>Roma</t>
  </si>
  <si>
    <t>Supermarket</t>
  </si>
  <si>
    <t>Direct-to-Consumer</t>
  </si>
  <si>
    <t>DN-TM-006</t>
  </si>
  <si>
    <t>Emily White</t>
  </si>
  <si>
    <t>Freshly picked for local stores</t>
  </si>
  <si>
    <t>OUT-007</t>
  </si>
  <si>
    <t>Apples</t>
  </si>
  <si>
    <t>Granny Smith</t>
  </si>
  <si>
    <t>INV-AP-007</t>
  </si>
  <si>
    <t>Cold Chain Trans</t>
  </si>
  <si>
    <t>Overdue</t>
  </si>
  <si>
    <t>Delayed payment expected</t>
  </si>
  <si>
    <t>OUT-008</t>
  </si>
  <si>
    <t>Grape Pomace</t>
  </si>
  <si>
    <t>C</t>
  </si>
  <si>
    <t>Compost Co</t>
  </si>
  <si>
    <t>DN-GP-008</t>
  </si>
  <si>
    <t>Compost Pile</t>
  </si>
  <si>
    <t>Residue from wine production</t>
  </si>
  <si>
    <t>OUT-009</t>
  </si>
  <si>
    <t>Barley</t>
  </si>
  <si>
    <t>Malt Grade</t>
  </si>
  <si>
    <t>Brewery</t>
  </si>
  <si>
    <t>INV-BL-009</t>
  </si>
  <si>
    <t>Road Haulers</t>
  </si>
  <si>
    <t>Used for brewing</t>
  </si>
  <si>
    <t>OUT-010</t>
  </si>
  <si>
    <t>Firewood</t>
  </si>
  <si>
    <t>Eucalyptus</t>
  </si>
  <si>
    <t>units</t>
  </si>
  <si>
    <t>Local Market</t>
  </si>
  <si>
    <t>DN-FW-010</t>
  </si>
  <si>
    <t>Wood Shed</t>
  </si>
  <si>
    <t>Collected from farm maintenance</t>
  </si>
  <si>
    <t>Input ID</t>
  </si>
  <si>
    <t>Date Applied</t>
  </si>
  <si>
    <t>Input Category</t>
  </si>
  <si>
    <t>Input Name / Product</t>
  </si>
  <si>
    <t>Supplier</t>
  </si>
  <si>
    <t>Batch / Invoice #</t>
  </si>
  <si>
    <t>Application Rate (per ha or per litre)</t>
  </si>
  <si>
    <t>Total Quantity Used</t>
  </si>
  <si>
    <t>Application Method</t>
  </si>
  <si>
    <t>Purpose</t>
  </si>
  <si>
    <t>Labour Hrs</t>
  </si>
  <si>
    <t>Cost per Unit (R)</t>
  </si>
  <si>
    <t>Total Cost</t>
  </si>
  <si>
    <t>Next Action / Follow-up</t>
  </si>
  <si>
    <t>FI-001</t>
  </si>
  <si>
    <t>Fertiliser</t>
  </si>
  <si>
    <t>Urea 46%</t>
  </si>
  <si>
    <t>INV-2025-001</t>
  </si>
  <si>
    <t>150 kg/ha</t>
  </si>
  <si>
    <t>Broadcast</t>
  </si>
  <si>
    <t>Fertility boost</t>
  </si>
  <si>
    <t>Reapply in 6 months</t>
  </si>
  <si>
    <t>Post-harvest application</t>
  </si>
  <si>
    <t>FI-002</t>
  </si>
  <si>
    <t>Pesticide</t>
  </si>
  <si>
    <t>Prosper 250 EC</t>
  </si>
  <si>
    <t>BAT-P250-003</t>
  </si>
  <si>
    <t>1.5 L/ha</t>
  </si>
  <si>
    <t>L</t>
  </si>
  <si>
    <t>Spray</t>
  </si>
  <si>
    <t>Pest control</t>
  </si>
  <si>
    <t>Monitor pest levels weekly</t>
  </si>
  <si>
    <t>Applied after initial pest sighting</t>
  </si>
  <si>
    <t>FI-003</t>
  </si>
  <si>
    <t>Herbicide</t>
  </si>
  <si>
    <t>Glyphosate Ultra</t>
  </si>
  <si>
    <t>INV-2025-002</t>
  </si>
  <si>
    <t>2 L/ha</t>
  </si>
  <si>
    <t>Weed control</t>
  </si>
  <si>
    <t>Apply pre-emergence next season</t>
  </si>
  <si>
    <t>Effective on broadleaf weeds</t>
  </si>
  <si>
    <t>FI-004</t>
  </si>
  <si>
    <t>Hybrid Maize C12</t>
  </si>
  <si>
    <t>BAT-HMC-001</t>
  </si>
  <si>
    <t>8 kg/ha</t>
  </si>
  <si>
    <t>packs</t>
  </si>
  <si>
    <t>Manual</t>
  </si>
  <si>
    <t>Crop establishment</t>
  </si>
  <si>
    <t>Check germination in 14 days</t>
  </si>
  <si>
    <t>Planted during optimal weather</t>
  </si>
  <si>
    <t>FI-005</t>
  </si>
  <si>
    <t>Labour</t>
  </si>
  <si>
    <t>Tractor Driving</t>
  </si>
  <si>
    <t>Farm Crew</t>
  </si>
  <si>
    <t>TIMESHEET-09-01</t>
  </si>
  <si>
    <t>hrs</t>
  </si>
  <si>
    <t>Tractor</t>
  </si>
  <si>
    <t>Land preparation</t>
  </si>
  <si>
    <t>Field plowing completed</t>
  </si>
  <si>
    <t>FI-006</t>
  </si>
  <si>
    <t>Drip System Repair</t>
  </si>
  <si>
    <t>INV-2025-003</t>
  </si>
  <si>
    <t>Water management</t>
  </si>
  <si>
    <t>Inspect system monthly</t>
  </si>
  <si>
    <t>Minor leak repaired</t>
  </si>
  <si>
    <t>FI-007</t>
  </si>
  <si>
    <t>Fungicide</t>
  </si>
  <si>
    <t>Azoxystrobin</t>
  </si>
  <si>
    <t>AgroGuard</t>
  </si>
  <si>
    <t>BAT-AZO-002</t>
  </si>
  <si>
    <t>0.8 L/ha</t>
  </si>
  <si>
    <t>Disease prevention</t>
  </si>
  <si>
    <t>Reapply in 21 days</t>
  </si>
  <si>
    <t>Proactive disease management</t>
  </si>
  <si>
    <t>FI-008</t>
  </si>
  <si>
    <t>REC-10045</t>
  </si>
  <si>
    <t>Equipment operation</t>
  </si>
  <si>
    <t>Top up tank next week</t>
  </si>
  <si>
    <t>Used for sprayer operations</t>
  </si>
  <si>
    <t>FI-009</t>
  </si>
  <si>
    <t>Soil Sampling</t>
  </si>
  <si>
    <t>INV-2025-004</t>
  </si>
  <si>
    <t>Soil health assessment</t>
  </si>
  <si>
    <t>Receive lab results by 2025-10-15</t>
  </si>
  <si>
    <t>Samples sent for nutrient analysis</t>
  </si>
  <si>
    <t>FI-010</t>
  </si>
  <si>
    <t>Potassium Sulphate</t>
  </si>
  <si>
    <t>INV-2025-005</t>
  </si>
  <si>
    <t>80 kg/ha</t>
  </si>
  <si>
    <t>Nutrient supplementation</t>
  </si>
  <si>
    <t>Monitor crop response</t>
  </si>
  <si>
    <t>Applied before flowering</t>
  </si>
  <si>
    <t>Equipment ID</t>
  </si>
  <si>
    <t>Equipment Type</t>
  </si>
  <si>
    <t>Make</t>
  </si>
  <si>
    <t>Model</t>
  </si>
  <si>
    <t>Year</t>
  </si>
  <si>
    <t>Serial Number</t>
  </si>
  <si>
    <t>Last Service Date</t>
  </si>
  <si>
    <t>Next Service Due (Date)</t>
  </si>
  <si>
    <t>Condition</t>
  </si>
  <si>
    <t>Ownership</t>
  </si>
  <si>
    <t>Acquisition Date</t>
  </si>
  <si>
    <t>Purchase Price (R)</t>
  </si>
  <si>
    <t>Supplier / Dealer</t>
  </si>
  <si>
    <t>Warranty Expiry</t>
  </si>
  <si>
    <t>ME-001</t>
  </si>
  <si>
    <t>Sprayer</t>
  </si>
  <si>
    <t>Hardi</t>
  </si>
  <si>
    <t>Navigator 4000</t>
  </si>
  <si>
    <t>HARD-N4K-123</t>
  </si>
  <si>
    <t>Active</t>
  </si>
  <si>
    <t>Trailed sprayer, 4000L capacity</t>
  </si>
  <si>
    <t>ME-002</t>
  </si>
  <si>
    <t>Cultivator</t>
  </si>
  <si>
    <t>Vaderstad</t>
  </si>
  <si>
    <t>Carrier 420</t>
  </si>
  <si>
    <t>VAD-C420-456</t>
  </si>
  <si>
    <t>Excellent</t>
  </si>
  <si>
    <t>Flexible stubble cultivator</t>
  </si>
  <si>
    <t>ME-003</t>
  </si>
  <si>
    <t>Baler</t>
  </si>
  <si>
    <t>Krone</t>
  </si>
  <si>
    <t>Comprima V150</t>
  </si>
  <si>
    <t>KRO-CV150-789</t>
  </si>
  <si>
    <t>In Repair</t>
  </si>
  <si>
    <t>Needs Repair</t>
  </si>
  <si>
    <t>FarmEquipment Co</t>
  </si>
  <si>
    <t>Round baler, minor gearbox issue</t>
  </si>
  <si>
    <t>ME-004</t>
  </si>
  <si>
    <t>Generator</t>
  </si>
  <si>
    <t>Cummins</t>
  </si>
  <si>
    <t>C110D5</t>
  </si>
  <si>
    <t>CUM-C110D5-012</t>
  </si>
  <si>
    <t>Standby</t>
  </si>
  <si>
    <t>Generator World</t>
  </si>
  <si>
    <t>Emergency power backup for packing shed</t>
  </si>
  <si>
    <t>ME-005</t>
  </si>
  <si>
    <t>Pump</t>
  </si>
  <si>
    <t>Grundfos</t>
  </si>
  <si>
    <t>SP 17-10</t>
  </si>
  <si>
    <t>GF-SP17-10-345</t>
  </si>
  <si>
    <t>Borehole pump, due for replacement</t>
  </si>
  <si>
    <t>ME-006</t>
  </si>
  <si>
    <t>Harvester</t>
  </si>
  <si>
    <t>Claas</t>
  </si>
  <si>
    <t>Lexion 760</t>
  </si>
  <si>
    <t>CLA-L760-678</t>
  </si>
  <si>
    <t>Lease</t>
  </si>
  <si>
    <t>Premium Harvesters</t>
  </si>
  <si>
    <t>New lease, high capacity combine</t>
  </si>
  <si>
    <t>ME-007</t>
  </si>
  <si>
    <t>Disc Harrow</t>
  </si>
  <si>
    <t>Lemken</t>
  </si>
  <si>
    <t>Heliodor 9</t>
  </si>
  <si>
    <t>LEM-H9-901</t>
  </si>
  <si>
    <t>Used for seedbed preparation</t>
  </si>
  <si>
    <t>ME-008</t>
  </si>
  <si>
    <t>Loader</t>
  </si>
  <si>
    <t>Caterpillar</t>
  </si>
  <si>
    <t>906M</t>
  </si>
  <si>
    <t>CAT-906M-234</t>
  </si>
  <si>
    <t>EarthMoving Solutions</t>
  </si>
  <si>
    <t>Versatile for material handling</t>
  </si>
  <si>
    <t>ME-009</t>
  </si>
  <si>
    <t>Shredder</t>
  </si>
  <si>
    <t>Fecon</t>
  </si>
  <si>
    <t>FTX100</t>
  </si>
  <si>
    <t>FEC-FTX100-567</t>
  </si>
  <si>
    <t>Forestry Equipment</t>
  </si>
  <si>
    <t>Used for clearing brush and pruning</t>
  </si>
  <si>
    <t>ME-010</t>
  </si>
  <si>
    <t>Planter</t>
  </si>
  <si>
    <t>Amazone</t>
  </si>
  <si>
    <t>Citan 12001-C</t>
  </si>
  <si>
    <t>AMZ-C12001-890</t>
  </si>
  <si>
    <t>Precision seed drill for grains</t>
  </si>
  <si>
    <t>Asset ID</t>
  </si>
  <si>
    <t>Asset Type</t>
  </si>
  <si>
    <t>Serial/VIN</t>
  </si>
  <si>
    <t>Registration/Plate</t>
  </si>
  <si>
    <t>Location / Field</t>
  </si>
  <si>
    <t>Owner/Lease</t>
  </si>
  <si>
    <t>Est. Current Value (R)</t>
  </si>
  <si>
    <t>Depreciation Method</t>
  </si>
  <si>
    <t>Useful Life (years)</t>
  </si>
  <si>
    <t>Meter Type</t>
  </si>
  <si>
    <t>Current Meter Reading</t>
  </si>
  <si>
    <t>Last Service Meter</t>
  </si>
  <si>
    <t>Service Interval (Hours)</t>
  </si>
  <si>
    <t>Next Service Due (Hours)</t>
  </si>
  <si>
    <t>Next Service Date</t>
  </si>
  <si>
    <t>Fuel Type</t>
  </si>
  <si>
    <t>Avg Fuel Use (L/hr or L/100km)</t>
  </si>
  <si>
    <t>Tyre Size / Count</t>
  </si>
  <si>
    <t>Implement Width (m)</t>
  </si>
  <si>
    <t>PTO/Power (kW/HP)</t>
  </si>
  <si>
    <t>Hydraulic/Notes</t>
  </si>
  <si>
    <t>Service Provider</t>
  </si>
  <si>
    <t>Insurance Policy #</t>
  </si>
  <si>
    <t>Documents</t>
  </si>
  <si>
    <t>Criticality</t>
  </si>
  <si>
    <t>Downtime (hrs YTD)</t>
  </si>
  <si>
    <t>Opex YTD (R)</t>
  </si>
  <si>
    <t>Capex YTD (R)</t>
  </si>
  <si>
    <t>EQ-001</t>
  </si>
  <si>
    <t>John Deere</t>
  </si>
  <si>
    <t>6120M</t>
  </si>
  <si>
    <t>JD6120M-S1234</t>
  </si>
  <si>
    <t>CA123-456</t>
  </si>
  <si>
    <t>Straight</t>
  </si>
  <si>
    <t>Hours</t>
  </si>
  <si>
    <t>12 L/hr</t>
  </si>
  <si>
    <t>460/85R38 / 4</t>
  </si>
  <si>
    <t>90 kW / 120 HP</t>
  </si>
  <si>
    <t>Standard 3-point hitch, 2 SCV</t>
  </si>
  <si>
    <t>FarmMechanics</t>
  </si>
  <si>
    <t>INS-JD-001</t>
  </si>
  <si>
    <t>Main workhorse tractor for crop cultivation</t>
  </si>
  <si>
    <t>EQ-002</t>
  </si>
  <si>
    <t>Implement</t>
  </si>
  <si>
    <t>Kverneland</t>
  </si>
  <si>
    <t>5-furrow Plough</t>
  </si>
  <si>
    <t>KV-PLOUGH-5-XYZ</t>
  </si>
  <si>
    <t>none</t>
  </si>
  <si>
    <t>Reversible plough for primary tillage</t>
  </si>
  <si>
    <t>INS-KV-002</t>
  </si>
  <si>
    <t>Used for primary tillage</t>
  </si>
  <si>
    <t>EQ-003</t>
  </si>
  <si>
    <t>Vehicle</t>
  </si>
  <si>
    <t>Toyota</t>
  </si>
  <si>
    <t>Hilux 2.8 GD-6</t>
  </si>
  <si>
    <t>VIN-HILUX-ABC</t>
  </si>
  <si>
    <t>CK111-222</t>
  </si>
  <si>
    <t>Toyota Dealership</t>
  </si>
  <si>
    <t>km</t>
  </si>
  <si>
    <t>8 L/100km</t>
  </si>
  <si>
    <t>265/65R17 / 4</t>
  </si>
  <si>
    <t>Farm supervisor vehicle, off-road capable</t>
  </si>
  <si>
    <t>Toyota Service</t>
  </si>
  <si>
    <t>INS-HIL-003</t>
  </si>
  <si>
    <t>Essential for farm logistics and supervision</t>
  </si>
  <si>
    <t>EQ-004</t>
  </si>
  <si>
    <t>CR15-5</t>
  </si>
  <si>
    <t>GF-CR15-5-123</t>
  </si>
  <si>
    <t>Dam A</t>
  </si>
  <si>
    <t>Electric</t>
  </si>
  <si>
    <t>7.5 kW</t>
  </si>
  <si>
    <t>Centrifugal pump, currently awaiting parts</t>
  </si>
  <si>
    <t>INS-GF-004</t>
  </si>
  <si>
    <t>Critical</t>
  </si>
  <si>
    <t>Main irrigation pump, urgent repair needed</t>
  </si>
  <si>
    <t>EQ-005</t>
  </si>
  <si>
    <t>Valley</t>
  </si>
  <si>
    <t>VALL-8120-QWER</t>
  </si>
  <si>
    <t>Pivot 1</t>
  </si>
  <si>
    <t>Valley Dealer</t>
  </si>
  <si>
    <t>8-tower pivot system, covers 50 ha</t>
  </si>
  <si>
    <t>Valley Service</t>
  </si>
  <si>
    <t>INS-PV-005</t>
  </si>
  <si>
    <t>Under lease agreement, essential for irrigation</t>
  </si>
  <si>
    <t>EQ-006</t>
  </si>
  <si>
    <t>CUMM-C110D5-FGHI</t>
  </si>
  <si>
    <t>Workshop</t>
  </si>
  <si>
    <t>15 L/hr</t>
  </si>
  <si>
    <t>88 kW / 110 kVA</t>
  </si>
  <si>
    <t>Emergency backup power, runs weekly test</t>
  </si>
  <si>
    <t>GenTech Solutions</t>
  </si>
  <si>
    <t>INS-GEN-006</t>
  </si>
  <si>
    <t>Warranty expired, but well maintained</t>
  </si>
  <si>
    <t>EQ-007</t>
  </si>
  <si>
    <t>HARD-NAV-JKL</t>
  </si>
  <si>
    <t>Units-of-Use</t>
  </si>
  <si>
    <t>Trailed sprayer, 4000L tank capacity</t>
  </si>
  <si>
    <t>INS-HAR-007</t>
  </si>
  <si>
    <t>Precision spraying equipment</t>
  </si>
  <si>
    <t>EQ-008</t>
  </si>
  <si>
    <t>Tool</t>
  </si>
  <si>
    <t>Bosch</t>
  </si>
  <si>
    <t>Angle Grinder</t>
  </si>
  <si>
    <t>BOSCH-AG-MNP</t>
  </si>
  <si>
    <t>Corded angle grinder, general workshop use</t>
  </si>
  <si>
    <t>General workshop tool</t>
  </si>
  <si>
    <t>EQ-009</t>
  </si>
  <si>
    <t>Custom Build</t>
  </si>
  <si>
    <t>Water Trailer</t>
  </si>
  <si>
    <t>CUST-WT-QRS</t>
  </si>
  <si>
    <t>Local Fabricator</t>
  </si>
  <si>
    <t>1000L water tank on trailer</t>
  </si>
  <si>
    <t>INS-CBT-009</t>
  </si>
  <si>
    <t>Used for transporting water to fields</t>
  </si>
  <si>
    <t>EQ-010</t>
  </si>
  <si>
    <t>Massey</t>
  </si>
  <si>
    <t>Ferguson 5710S</t>
  </si>
  <si>
    <t>MF5710S-TUVW</t>
  </si>
  <si>
    <t>CW789-012</t>
  </si>
  <si>
    <t>10 L/hr</t>
  </si>
  <si>
    <t>420/85R34 / 4</t>
  </si>
  <si>
    <t>75 kW / 100 HP</t>
  </si>
  <si>
    <t>Minor engine issue, awaiting inspection</t>
  </si>
  <si>
    <t>INS-MF-010</t>
  </si>
  <si>
    <t>Secondary tractor, currently not operational</t>
  </si>
  <si>
    <t>Farm / Paddock Name</t>
  </si>
  <si>
    <t>Flock ID / Name</t>
  </si>
  <si>
    <t>Breed / Strain</t>
  </si>
  <si>
    <t>Head Count</t>
  </si>
  <si>
    <t>Rams</t>
  </si>
  <si>
    <t>Ewes</t>
  </si>
  <si>
    <t>Lambs</t>
  </si>
  <si>
    <t>Avg Age (months)</t>
  </si>
  <si>
    <t>Avg Weight (kg)</t>
  </si>
  <si>
    <t>Body Condition Score (avg, 1–5)</t>
  </si>
  <si>
    <t>Mortality (last 30 days)</t>
  </si>
  <si>
    <t>Mortality Reason</t>
  </si>
  <si>
    <t>Health Treatments Given</t>
  </si>
  <si>
    <t>Vaccination Status</t>
  </si>
  <si>
    <t>Deworming Status</t>
  </si>
  <si>
    <t>Reproduction Cycle</t>
  </si>
  <si>
    <t>Lambing %</t>
  </si>
  <si>
    <t>Weaning %</t>
  </si>
  <si>
    <t>Wool / Fleece Weight (kg per head)</t>
  </si>
  <si>
    <t>Shearing Date</t>
  </si>
  <si>
    <t>Feed / Supplement</t>
  </si>
  <si>
    <t>Grazing Area</t>
  </si>
  <si>
    <t>Input Costs (R/head)</t>
  </si>
  <si>
    <t>Output Value (R/head)</t>
  </si>
  <si>
    <t>Net Margin</t>
  </si>
  <si>
    <t>Green Pastures</t>
  </si>
  <si>
    <t>Breeding Ewes</t>
  </si>
  <si>
    <t>Disease</t>
  </si>
  <si>
    <t>Deworming, Antibiotics</t>
  </si>
  <si>
    <t>Up to date</t>
  </si>
  <si>
    <t>Due</t>
  </si>
  <si>
    <t>Pregnant</t>
  </si>
  <si>
    <t>Lucerne &amp; Grain</t>
  </si>
  <si>
    <t>Sarah Jones</t>
  </si>
  <si>
    <t>Good health, some ewes due for deworming.</t>
  </si>
  <si>
    <t>Replacement Lambs</t>
  </si>
  <si>
    <t>Accidents</t>
  </si>
  <si>
    <t>Vitamin boost</t>
  </si>
  <si>
    <t>Weaning</t>
  </si>
  <si>
    <t>Starter Pellets</t>
  </si>
  <si>
    <t>East Paddock</t>
  </si>
  <si>
    <t>Tom Green</t>
  </si>
  <si>
    <t>Growing well, preparing for breeding next year.</t>
  </si>
  <si>
    <t>Mountain View</t>
  </si>
  <si>
    <t>Hoof trimming</t>
  </si>
  <si>
    <t>Not mated</t>
  </si>
  <si>
    <t>High Protein Pellets</t>
  </si>
  <si>
    <t>Small Enclosure</t>
  </si>
  <si>
    <t>Spring</t>
  </si>
  <si>
    <t>Jane Doe</t>
  </si>
  <si>
    <t>Excellent condition.</t>
  </si>
  <si>
    <t>Sunny Hills</t>
  </si>
  <si>
    <t>Sale Group</t>
  </si>
  <si>
    <t>Predators</t>
  </si>
  <si>
    <t>Finishing Feed</t>
  </si>
  <si>
    <t>Holding Pen</t>
  </si>
  <si>
    <t>Peter Black</t>
  </si>
  <si>
    <t>Ready for market next week.</t>
  </si>
  <si>
    <t>Young Ewes</t>
  </si>
  <si>
    <t>Multivitamin injection</t>
  </si>
  <si>
    <t>Hay &amp; Mineral Lick</t>
  </si>
  <si>
    <t>West Paddock</t>
  </si>
  <si>
    <t>Awaiting ram introduction.</t>
  </si>
  <si>
    <t>Lambing Ewes</t>
  </si>
  <si>
    <t>Fly strike treatment</t>
  </si>
  <si>
    <t>Lambing</t>
  </si>
  <si>
    <t>Pre-lambing Ration</t>
  </si>
  <si>
    <t>Nursery Field</t>
  </si>
  <si>
    <t>Many new lambs, monitoring ewes closely.</t>
  </si>
  <si>
    <t>Weaner Lambs</t>
  </si>
  <si>
    <t>Coccidiostat</t>
  </si>
  <si>
    <t>Lamb Grower Pellets</t>
  </si>
  <si>
    <t>Recently weaned, adjusting well.</t>
  </si>
  <si>
    <t>Old Ewes</t>
  </si>
  <si>
    <t>Arthritis medication</t>
  </si>
  <si>
    <t>Maintenance Feed</t>
  </si>
  <si>
    <t>Old Ewe Paddock</t>
  </si>
  <si>
    <t>Cull group for end of year.</t>
  </si>
  <si>
    <t>Mixed Lambs</t>
  </si>
  <si>
    <t>Merino/Dorper</t>
  </si>
  <si>
    <t>Mixed Pellets</t>
  </si>
  <si>
    <t>Mid Field</t>
  </si>
  <si>
    <t>Regular checks for predator activity.</t>
  </si>
  <si>
    <t>AVERAGE of Net Margin</t>
  </si>
  <si>
    <t>Grand Total</t>
  </si>
  <si>
    <t>PRODUKSIE DATA VAN CLOUDSKRAAL BOERDERY PER PLAAS, LAND EN GESKATTE OPBRENGS EN WERKLIKE OES IN KILOGRAMME.</t>
  </si>
  <si>
    <t>PLAASNAAM</t>
  </si>
  <si>
    <t>LANDNAAM</t>
  </si>
  <si>
    <t>LANDNO</t>
  </si>
  <si>
    <t>GEPLANT</t>
  </si>
  <si>
    <t>HEKTAAR</t>
  </si>
  <si>
    <t>2004
WERKLIK</t>
  </si>
  <si>
    <t>2005
WERKLIK</t>
  </si>
  <si>
    <t>2006_WERKLIK</t>
  </si>
  <si>
    <t>2007_WERKLIK</t>
  </si>
  <si>
    <t>2008_WERKLIK</t>
  </si>
  <si>
    <t>2009_WERKLIK</t>
  </si>
  <si>
    <t>2010_WERKLIK</t>
  </si>
  <si>
    <t>2011_WERKLIK</t>
  </si>
  <si>
    <t>2012_WERKLIK</t>
  </si>
  <si>
    <t>2013_WERKLIK</t>
  </si>
  <si>
    <t>2014_WERKLIK</t>
  </si>
  <si>
    <t>2015_WERKLIK</t>
  </si>
  <si>
    <t>2016_WERKLIK</t>
  </si>
  <si>
    <t>2017_WERKLIK</t>
  </si>
  <si>
    <t>2018_WERKLIK</t>
  </si>
  <si>
    <t>2019_WERKLIK</t>
  </si>
  <si>
    <t>2020_WERKLIK</t>
  </si>
  <si>
    <t>2021_WERKLIK</t>
  </si>
  <si>
    <t>2022_WERKLIK</t>
  </si>
  <si>
    <t>2023_WERKLIK</t>
  </si>
  <si>
    <t>2024_WERKLIK</t>
  </si>
  <si>
    <t>25_WERKLIK</t>
  </si>
  <si>
    <t>Latboskamp</t>
  </si>
  <si>
    <t>B7</t>
  </si>
  <si>
    <t>N.A</t>
  </si>
  <si>
    <t>Pleisterbosrug</t>
  </si>
  <si>
    <t>C3</t>
  </si>
  <si>
    <t>Eerste Land</t>
  </si>
  <si>
    <t>B1</t>
  </si>
  <si>
    <t>Straatklip</t>
  </si>
  <si>
    <t>B3</t>
  </si>
  <si>
    <t>Groenvlei</t>
  </si>
  <si>
    <t>C11</t>
  </si>
  <si>
    <t>Volkshuise</t>
  </si>
  <si>
    <t>C15</t>
  </si>
  <si>
    <t>Onderdam</t>
  </si>
  <si>
    <t>C17</t>
  </si>
  <si>
    <t>Eerste Spilpunt</t>
  </si>
  <si>
    <t>C8</t>
  </si>
  <si>
    <t>Sandkamp</t>
  </si>
  <si>
    <t>G4</t>
  </si>
  <si>
    <t>Vleikamp B</t>
  </si>
  <si>
    <t>G8</t>
  </si>
  <si>
    <t>Tuinkamp</t>
  </si>
  <si>
    <t>B14</t>
  </si>
  <si>
    <t>Bokant Dam</t>
  </si>
  <si>
    <t>B6</t>
  </si>
  <si>
    <t>Teen Kromvlei</t>
  </si>
  <si>
    <t>C1</t>
  </si>
  <si>
    <t>Langland</t>
  </si>
  <si>
    <t>C12</t>
  </si>
  <si>
    <t>Heelagter</t>
  </si>
  <si>
    <t>C19</t>
  </si>
  <si>
    <t>Spilpuntland</t>
  </si>
  <si>
    <t>GA3</t>
  </si>
  <si>
    <t>Hardekop</t>
  </si>
  <si>
    <t>C2</t>
  </si>
  <si>
    <t>Agter Pomp</t>
  </si>
  <si>
    <t>C5</t>
  </si>
  <si>
    <t>Links van vlei</t>
  </si>
  <si>
    <t>C6</t>
  </si>
  <si>
    <t>Tweede Spilpunt</t>
  </si>
  <si>
    <t>C18</t>
  </si>
  <si>
    <t>Regs van vlei</t>
  </si>
  <si>
    <t>C7</t>
  </si>
  <si>
    <t>Baken se land</t>
  </si>
  <si>
    <t>G3</t>
  </si>
  <si>
    <t>Driehoekkamp</t>
  </si>
  <si>
    <t>GA2</t>
  </si>
  <si>
    <t>Teen Grasberg</t>
  </si>
  <si>
    <t>B12</t>
  </si>
  <si>
    <t>Spilpuntkamp</t>
  </si>
  <si>
    <t>B2</t>
  </si>
  <si>
    <t>Windpompkamp</t>
  </si>
  <si>
    <t>B4</t>
  </si>
  <si>
    <t>B8</t>
  </si>
  <si>
    <t>Stoorkamp</t>
  </si>
  <si>
    <t>B9</t>
  </si>
  <si>
    <t>Om Groenvlei</t>
  </si>
  <si>
    <t>C9</t>
  </si>
  <si>
    <t>G1</t>
  </si>
  <si>
    <t>Teen Pierre</t>
  </si>
  <si>
    <t>G13</t>
  </si>
  <si>
    <t>By Resovoir</t>
  </si>
  <si>
    <t>G14</t>
  </si>
  <si>
    <t>Vleikamp A</t>
  </si>
  <si>
    <t>G2</t>
  </si>
  <si>
    <t>Langland by Bloekoms</t>
  </si>
  <si>
    <t>G9</t>
  </si>
  <si>
    <t>Uilklip</t>
  </si>
  <si>
    <t>C13</t>
  </si>
  <si>
    <t>Roosklawerkamp</t>
  </si>
  <si>
    <t>G6</t>
  </si>
  <si>
    <t>Donkiekamp</t>
  </si>
  <si>
    <t>B10</t>
  </si>
  <si>
    <t>Braak</t>
  </si>
  <si>
    <t>Agter Huiskamp</t>
  </si>
  <si>
    <t>B11</t>
  </si>
  <si>
    <t>Voor Huiskamp</t>
  </si>
  <si>
    <t>B13</t>
  </si>
  <si>
    <t>By Begraafplaas</t>
  </si>
  <si>
    <t>C16</t>
  </si>
  <si>
    <t>Garskamp</t>
  </si>
  <si>
    <t>G10</t>
  </si>
  <si>
    <t>Bokant Bloekoms</t>
  </si>
  <si>
    <t>G11</t>
  </si>
  <si>
    <t>Klipland</t>
  </si>
  <si>
    <t>G12</t>
  </si>
  <si>
    <t>Teerpadland</t>
  </si>
  <si>
    <t>G7a</t>
  </si>
  <si>
    <t>Popelierland</t>
  </si>
  <si>
    <t>G7b</t>
  </si>
  <si>
    <t>Noordland</t>
  </si>
  <si>
    <t>G7c</t>
  </si>
  <si>
    <t>Plantjiesland</t>
  </si>
  <si>
    <t>G7d</t>
  </si>
  <si>
    <t>Deur-ry-land</t>
  </si>
  <si>
    <t>G7e</t>
  </si>
  <si>
    <t>Puntland</t>
  </si>
  <si>
    <t>G7f</t>
  </si>
  <si>
    <t>Noordkamp</t>
  </si>
  <si>
    <t>GA1</t>
  </si>
  <si>
    <t>Denneboomland</t>
  </si>
  <si>
    <t>GA4</t>
  </si>
  <si>
    <t>Huiskamp</t>
  </si>
  <si>
    <t>GA5</t>
  </si>
  <si>
    <t>Stoorland</t>
  </si>
  <si>
    <t>GA6</t>
  </si>
  <si>
    <t>2004
OESSKAT</t>
  </si>
  <si>
    <t>2005
OESSKAT</t>
  </si>
  <si>
    <t>2006
OESSKAT</t>
  </si>
  <si>
    <t>2007_OESSKAT</t>
  </si>
  <si>
    <t>2008_OESSKAT</t>
  </si>
  <si>
    <t>2009_OESSKAT</t>
  </si>
  <si>
    <t>2010_OESSKAT</t>
  </si>
  <si>
    <t>2011_OESSKAT</t>
  </si>
  <si>
    <t>2012_OESSKAT</t>
  </si>
  <si>
    <t>2013_OESSKAT</t>
  </si>
  <si>
    <t>2014_OESSKAT</t>
  </si>
  <si>
    <t>2015_OESSKAT</t>
  </si>
  <si>
    <t>2016_OESSKAT</t>
  </si>
  <si>
    <t>2017_OESSKAT</t>
  </si>
  <si>
    <t>2018_OESSKAT</t>
  </si>
  <si>
    <t>2019_OESSKAT</t>
  </si>
  <si>
    <t>2020_OESSKAT</t>
  </si>
  <si>
    <t>2021_OESSKAT</t>
  </si>
  <si>
    <t>2022_OESSKAT</t>
  </si>
  <si>
    <t>2023_OESSKAT</t>
  </si>
  <si>
    <t>2024_OESSKAT</t>
  </si>
  <si>
    <t>2025_OESSKAT</t>
  </si>
  <si>
    <t>2026_OESSKAT</t>
  </si>
  <si>
    <t>2027_OESSKAT</t>
  </si>
  <si>
    <t>2028_OESSKAT</t>
  </si>
  <si>
    <t>Column 31</t>
  </si>
  <si>
    <t>Column 32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</si>
  <si>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</si>
  <si>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</si>
  <si>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</si>
  <si>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</si>
  <si>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</si>
  <si>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</si>
  <si>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</si>
  <si>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</si>
  <si>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</si>
  <si>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</si>
  <si>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</si>
  <si>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</si>
  <si>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</si>
  <si>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</si>
  <si>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</si>
  <si>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</si>
  <si>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Column 49</t>
  </si>
  <si>
    <t>Column 50</t>
  </si>
  <si>
    <t>Column 51</t>
  </si>
  <si>
    <t>Column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</si>
</sst>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R-1C09]* #,##0.00_-;\-[$R-1C09]* #,##0.00_-;_-[$R-1C09]* &quot;-&quot;??_-;_-@"/>
    <numFmt numFmtId="165" formatCode="yyyy-mm-dd"/>
    <numFmt numFmtId="166" formatCode="M/d/yyyy"/>
    <numFmt numFmtId="167" formatCode="#,##0.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u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2" numFmtId="0" xfId="0" applyBorder="1" applyFont="1"/>
    <xf borderId="2" fillId="0" fontId="2" numFmtId="164" xfId="0" applyBorder="1" applyFont="1" applyNumberFormat="1"/>
    <xf borderId="2" fillId="0" fontId="2" numFmtId="0" xfId="0" applyBorder="1" applyFont="1"/>
    <xf borderId="0" fillId="0" fontId="1" numFmtId="0" xfId="0" applyFont="1"/>
    <xf borderId="3" fillId="0" fontId="1" numFmtId="164" xfId="0" applyBorder="1" applyFont="1" applyNumberFormat="1"/>
    <xf borderId="0" fillId="0" fontId="3" numFmtId="0" xfId="0" applyFont="1"/>
    <xf borderId="4" fillId="2" fontId="1" numFmtId="164" xfId="0" applyBorder="1" applyFill="1" applyFont="1" applyNumberFormat="1"/>
    <xf borderId="5" fillId="2" fontId="1" numFmtId="164" xfId="0" applyBorder="1" applyFont="1" applyNumberFormat="1"/>
    <xf borderId="4" fillId="3" fontId="1" numFmtId="0" xfId="0" applyBorder="1" applyFill="1" applyFont="1"/>
    <xf borderId="4" fillId="4" fontId="1" numFmtId="164" xfId="0" applyBorder="1" applyFill="1" applyFont="1" applyNumberFormat="1"/>
    <xf borderId="4" fillId="4" fontId="1" numFmtId="0" xfId="0" applyBorder="1" applyFont="1"/>
    <xf borderId="4" fillId="5" fontId="1" numFmtId="164" xfId="0" applyBorder="1" applyFill="1" applyFont="1" applyNumberFormat="1"/>
    <xf borderId="4" fillId="5" fontId="1" numFmtId="0" xfId="0" applyBorder="1" applyFont="1"/>
    <xf borderId="4" fillId="6" fontId="1" numFmtId="0" xfId="0" applyBorder="1" applyFill="1" applyFont="1"/>
    <xf borderId="4" fillId="7" fontId="1" numFmtId="0" xfId="0" applyBorder="1" applyFill="1" applyFont="1"/>
    <xf borderId="4" fillId="2" fontId="1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164" xfId="0" applyBorder="1" applyFont="1" applyNumberFormat="1"/>
    <xf borderId="2" fillId="0" fontId="1" numFmtId="164" xfId="0" applyBorder="1" applyFont="1" applyNumberFormat="1"/>
    <xf borderId="6" fillId="2" fontId="1" numFmtId="164" xfId="0" applyBorder="1" applyFont="1" applyNumberFormat="1"/>
    <xf borderId="0" fillId="0" fontId="2" numFmtId="0" xfId="0" applyFont="1"/>
    <xf borderId="3" fillId="0" fontId="2" numFmtId="164" xfId="0" applyBorder="1" applyFont="1" applyNumberFormat="1"/>
    <xf borderId="0" fillId="0" fontId="2" numFmtId="164" xfId="0" applyFont="1" applyNumberFormat="1"/>
    <xf borderId="7" fillId="0" fontId="1" numFmtId="164" xfId="0" applyBorder="1" applyFont="1" applyNumberFormat="1"/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0" xfId="0" applyAlignment="1" applyFont="1" applyNumberFormat="1">
      <alignment readingOrder="0"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0" fontId="3" numFmtId="0" xfId="0" applyFont="1"/>
    <xf borderId="0" fillId="0" fontId="6" numFmtId="1" xfId="0" applyFont="1" applyNumberFormat="1"/>
    <xf borderId="0" fillId="0" fontId="1" numFmtId="1" xfId="0" applyFont="1" applyNumberFormat="1"/>
    <xf borderId="0" fillId="0" fontId="1" numFmtId="167" xfId="0" applyFont="1" applyNumberFormat="1"/>
    <xf borderId="0" fillId="0" fontId="1" numFmtId="3" xfId="0" applyFont="1" applyNumberFormat="1"/>
    <xf borderId="0" fillId="0" fontId="1" numFmtId="1" xfId="0" applyAlignment="1" applyFont="1" applyNumberFormat="1">
      <alignment horizontal="left" readingOrder="0" shrinkToFit="0" vertical="center" wrapText="1"/>
    </xf>
    <xf borderId="0" fillId="0" fontId="1" numFmtId="167" xfId="0" applyAlignment="1" applyFont="1" applyNumberFormat="1">
      <alignment horizontal="left" readingOrder="0" shrinkToFit="0" vertical="center" wrapText="1"/>
    </xf>
    <xf borderId="0" fillId="0" fontId="1" numFmtId="1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/>
    </xf>
    <xf borderId="0" fillId="0" fontId="1" numFmtId="3" xfId="0" applyAlignment="1" applyFont="1" applyNumberFormat="1">
      <alignment horizontal="left" readingOrder="0" shrinkToFit="0" vertical="center" wrapText="1"/>
    </xf>
    <xf borderId="0" fillId="0" fontId="1" numFmtId="3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 shrinkToFit="0" wrapText="1"/>
    </xf>
    <xf borderId="0" fillId="0" fontId="1" numFmtId="167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4" xfId="0" applyFont="1" applyNumberFormat="1"/>
    <xf borderId="0" fillId="0" fontId="1" numFmtId="49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C0662F"/>
          <bgColor rgb="FFC0662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0662F"/>
        </left>
        <right style="thin">
          <color rgb="FFC0662F"/>
        </right>
        <top style="thin">
          <color rgb="FFC0662F"/>
        </top>
        <bottom style="thin">
          <color rgb="FFC0662F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CDD9D4"/>
          <bgColor rgb="FFCDD9D4"/>
        </patternFill>
      </fill>
      <border/>
    </dxf>
    <dxf>
      <font>
        <color rgb="FFDD7E6B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7">
    <tableStyle count="4" pivot="0" name="Far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ld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upplier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ustomer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utpu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npu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quipmen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quipment 2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heep Flock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8" type="wholeTable"/>
      <tableStyleElement dxfId="9" type="firstRowSubheading"/>
      <tableStyleElement dxfId="9" type="secondRowSubheading"/>
      <tableStyleElement dxfId="9" type="thirdRowSubheading"/>
      <tableStyleElement dxfId="10" type="firstColumnSubheading"/>
      <tableStyleElement dxfId="10" type="secondColumnSubheading"/>
      <tableStyleElement dxfId="10" type="thirdColumnSubheading"/>
      <tableStyleElement dxfId="10" type="headerRow"/>
      <tableStyleElement dxfId="11" type="firstSubtotalRow"/>
      <tableStyleElement dxfId="11" type="secondSubtotalRow"/>
      <tableStyleElement dxfId="11" type="thirdSubtotalRow"/>
      <tableStyleElement dxfId="12" type="totalRow"/>
    </tableStyle>
    <tableStyle count="5" pivot="0" name="Rooibos - JOHAN BRAND - Werklik-style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  <tableStyle count="5" pivot="0" name="Rooibos - JOHAN BRAND - Werklik-style 2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  <tableStyle count="5" pivot="0" name="Rooibos - Johan Brand - Oeskatt-style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  <tableStyle count="5" pivot="0" name="Rooibos - Johan Brand - Oeskatt-style 2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  <tableStyle count="2" pivot="0" name="Rooibos - Johan Brand - Oeskatt-style 3">
      <tableStyleElement dxfId="2" type="firstRowStripe"/>
      <tableStyleElement dxfId="3" type="secondRowStripe"/>
    </tableStyle>
    <tableStyle count="5" pivot="0" name="Copy of Oeskatting-style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  <tableStyle count="5" pivot="0" name="Copy of Oeskatting-style 2">
      <tableStyleElement dxfId="6" type="headerRow"/>
      <tableStyleElement dxfId="2" type="firstRowStripe"/>
      <tableStyleElement dxfId="3" type="secondRowStripe"/>
      <tableStyleElement dxfId="13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0" sheet="Sheep Flock"/>
  </cacheSource>
  <cacheFields>
    <cacheField name="Farm / Paddock Name" numFmtId="0">
      <sharedItems>
        <s v="Green Pastures"/>
        <s v="River Bend"/>
        <s v="Mountain View"/>
        <s v="Sunny Hills"/>
      </sharedItems>
    </cacheField>
    <cacheField name="Flock ID / Name" numFmtId="0">
      <sharedItems>
        <s v="Breeding Ewes"/>
        <s v="Replacement Lambs"/>
        <s v="Rams"/>
        <s v="Sale Group"/>
        <s v="Young Ewes"/>
        <s v="Lambing Ewes"/>
        <s v="Weaner Lambs"/>
        <s v="Old Ewes"/>
        <s v="Mixed Lambs"/>
      </sharedItems>
    </cacheField>
    <cacheField name="Breed / Strain" numFmtId="0">
      <sharedItems>
        <s v="Merino"/>
        <s v="Dorper"/>
        <s v="Merino/Dorper"/>
      </sharedItems>
    </cacheField>
    <cacheField name="Head Count" numFmtId="0">
      <sharedItems containsSemiMixedTypes="0" containsString="0" containsNumber="1" containsInteger="1">
        <n v="450.0"/>
        <n v="220.0"/>
        <n v="20.0"/>
        <n v="180.0"/>
        <n v="150.0"/>
        <n v="200.0"/>
        <n v="100.0"/>
        <n v="80.0"/>
      </sharedItems>
    </cacheField>
    <cacheField name="Rams" numFmtId="0">
      <sharedItems containsSemiMixedTypes="0" containsString="0" containsNumber="1" containsInteger="1">
        <n v="15.0"/>
        <n v="0.0"/>
        <n v="20.0"/>
        <n v="10.0"/>
        <n v="5.0"/>
      </sharedItems>
    </cacheField>
    <cacheField name="Ewes" numFmtId="0">
      <sharedItems containsSemiMixedTypes="0" containsString="0" containsNumber="1" containsInteger="1">
        <n v="300.0"/>
        <n v="0.0"/>
        <n v="50.0"/>
        <n v="150.0"/>
        <n v="200.0"/>
        <n v="80.0"/>
      </sharedItems>
    </cacheField>
    <cacheField name="Lambs" numFmtId="0">
      <sharedItems containsSemiMixedTypes="0" containsString="0" containsNumber="1" containsInteger="1">
        <n v="135.0"/>
        <n v="220.0"/>
        <n v="0.0"/>
        <n v="120.0"/>
        <n v="190.0"/>
        <n v="100.0"/>
        <n v="180.0"/>
      </sharedItems>
    </cacheField>
    <cacheField name="Avg Age (months)" numFmtId="0">
      <sharedItems containsSemiMixedTypes="0" containsString="0" containsNumber="1" containsInteger="1">
        <n v="48.0"/>
        <n v="8.0"/>
        <n v="60.0"/>
        <n v="10.0"/>
        <n v="24.0"/>
        <n v="54.0"/>
        <n v="6.0"/>
        <n v="72.0"/>
        <n v="7.0"/>
      </sharedItems>
    </cacheField>
    <cacheField name="Avg Weight (kg)" numFmtId="0">
      <sharedItems containsSemiMixedTypes="0" containsString="0" containsNumber="1" containsInteger="1">
        <n v="65.0"/>
        <n v="35.0"/>
        <n v="90.0"/>
        <n v="40.0"/>
        <n v="55.0"/>
        <n v="70.0"/>
        <n v="28.0"/>
        <n v="60.0"/>
        <n v="32.0"/>
      </sharedItems>
    </cacheField>
    <cacheField name="Body Condition Score (avg, 1–5)" numFmtId="0">
      <sharedItems containsSemiMixedTypes="0" containsString="0" containsNumber="1">
        <n v="3.5"/>
        <n v="3.0"/>
        <n v="4.0"/>
        <n v="3.2"/>
        <n v="3.7"/>
        <n v="3.8"/>
        <n v="2.9"/>
        <n v="3.1"/>
      </sharedItems>
    </cacheField>
    <cacheField name="Mortality (last 30 days)" numFmtId="0">
      <sharedItems containsSemiMixedTypes="0" containsString="0" containsNumber="1" containsInteger="1">
        <n v="1.0"/>
        <n v="2.0"/>
        <n v="0.0"/>
        <n v="3.0"/>
        <n v="4.0"/>
      </sharedItems>
    </cacheField>
    <cacheField name="Mortality Reason" numFmtId="0">
      <sharedItems>
        <s v="Disease"/>
        <s v="Accidents"/>
        <s v="N/A"/>
        <s v="Predators"/>
        <s v="Other"/>
      </sharedItems>
    </cacheField>
    <cacheField name="Health Treatments Given" numFmtId="0">
      <sharedItems>
        <s v="Deworming, Antibiotics"/>
        <s v="Vitamin boost"/>
        <s v="Hoof trimming"/>
        <s v="None"/>
        <s v="Multivitamin injection"/>
        <s v="Fly strike treatment"/>
        <s v="Coccidiostat"/>
        <s v="Arthritis medication"/>
      </sharedItems>
    </cacheField>
    <cacheField name="Vaccination Status" numFmtId="0">
      <sharedItems>
        <s v="Up to date"/>
        <s v="Due"/>
      </sharedItems>
    </cacheField>
    <cacheField name="Deworming Status" numFmtId="0">
      <sharedItems>
        <s v="Due"/>
        <s v="Up to date"/>
      </sharedItems>
    </cacheField>
    <cacheField name="Reproduction Cycle" numFmtId="0">
      <sharedItems>
        <s v="Pregnant"/>
        <s v="Weaning"/>
        <s v="Not mated"/>
        <s v="N/A"/>
        <s v="Lambing"/>
      </sharedItems>
    </cacheField>
    <cacheField name="Lambing %" numFmtId="10">
      <sharedItems containsSemiMixedTypes="0" containsString="0" containsNumber="1">
        <n v="1.3"/>
        <n v="0.0"/>
        <n v="0.95"/>
      </sharedItems>
    </cacheField>
    <cacheField name="Weaning %" numFmtId="10">
      <sharedItems containsSemiMixedTypes="0" containsString="0" containsNumber="1">
        <n v="1.15"/>
        <n v="0.0"/>
        <n v="0.8"/>
      </sharedItems>
    </cacheField>
    <cacheField name="Wool / Fleece Weight (kg per head)" numFmtId="0">
      <sharedItems containsSemiMixedTypes="0" containsString="0" containsNumber="1">
        <n v="4.8"/>
        <n v="0.0"/>
        <n v="6.2"/>
        <n v="5.0"/>
      </sharedItems>
    </cacheField>
    <cacheField name="Shearing Date">
      <sharedItems containsDate="1" containsMixedTypes="1">
        <d v="2025-08-15T00:00:00Z"/>
        <s v="N/A"/>
        <d v="2025-07-20T00:00:00Z"/>
        <d v="2025-08-01T00:00:00Z"/>
        <d v="2025-07-05T00:00:00Z"/>
      </sharedItems>
    </cacheField>
    <cacheField name="Feed / Supplement" numFmtId="0">
      <sharedItems>
        <s v="Lucerne &amp; Grain"/>
        <s v="Starter Pellets"/>
        <s v="High Protein Pellets"/>
        <s v="Finishing Feed"/>
        <s v="Hay &amp; Mineral Lick"/>
        <s v="Pre-lambing Ration"/>
        <s v="Lamb Grower Pellets"/>
        <s v="Maintenance Feed"/>
        <s v="Mixed Pellets"/>
      </sharedItems>
    </cacheField>
    <cacheField name="Grazing Area" numFmtId="0">
      <sharedItems>
        <s v="North Field"/>
        <s v="East Paddock"/>
        <s v="Small Enclosure"/>
        <s v="Holding Pen"/>
        <s v="West Paddock"/>
        <s v="Nursery Field"/>
        <s v="South Field"/>
        <s v="Old Ewe Paddock"/>
        <s v="Mid Field"/>
      </sharedItems>
    </cacheField>
    <cacheField name="Water Source" numFmtId="0">
      <sharedItems>
        <s v="Borehole"/>
        <s v="River"/>
        <s v="Spring"/>
        <s v="Dam"/>
      </sharedItems>
    </cacheField>
    <cacheField name="Input Costs (R/head)" numFmtId="0">
      <sharedItems containsSemiMixedTypes="0" containsString="0" containsNumber="1" containsInteger="1">
        <n v="120.0"/>
        <n v="80.0"/>
        <n v="150.0"/>
        <n v="95.0"/>
        <n v="100.0"/>
        <n v="130.0"/>
        <n v="70.0"/>
        <n v="110.0"/>
        <n v="85.0"/>
      </sharedItems>
    </cacheField>
    <cacheField name="Output Value (R/head)" numFmtId="0">
      <sharedItems containsSemiMixedTypes="0" containsString="0" containsNumber="1" containsInteger="1">
        <n v="250.0"/>
        <n v="150.0"/>
        <n v="0.0"/>
        <n v="180.0"/>
        <n v="260.0"/>
        <n v="140.0"/>
        <n v="160.0"/>
      </sharedItems>
    </cacheField>
    <cacheField name="Net Margin" numFmtId="0">
      <sharedItems containsSemiMixedTypes="0" containsString="0" containsNumber="1" containsInteger="1">
        <n v="130.0"/>
        <n v="70.0"/>
        <n v="-150.0"/>
        <n v="85.0"/>
        <n v="-100.0"/>
        <n v="-110.0"/>
        <n v="75.0"/>
      </sharedItems>
    </cacheField>
    <cacheField name="Responsible Person" numFmtId="0">
      <sharedItems>
        <s v="Sarah Jones"/>
        <s v="Tom Green"/>
        <s v="Jane Doe"/>
        <s v="Peter Black"/>
      </sharedItems>
    </cacheField>
    <cacheField name="Notes" numFmtId="0">
      <sharedItems>
        <s v="Good health, some ewes due for deworming."/>
        <s v="Growing well, preparing for breeding next year."/>
        <s v="Excellent condition."/>
        <s v="Ready for market next week."/>
        <s v="Awaiting ram introduction."/>
        <s v="Many new lambs, monitoring ewes closely."/>
        <s v="Recently weaned, adjusting well."/>
        <s v="Cull group for end of year."/>
        <s v="Regular checks for predator activity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p Flock" cacheId="0" dataCaption="" compact="0" compactData="0">
  <location ref="A18:B28" firstHeaderRow="0" firstDataRow="1" firstDataCol="0"/>
  <pivotFields>
    <pivotField name="Farm / Paddock Name" compact="0" outline="0" multipleItemSelectionAllowed="1" showAll="0">
      <items>
        <item x="0"/>
        <item x="1"/>
        <item x="2"/>
        <item x="3"/>
        <item t="default"/>
      </items>
    </pivotField>
    <pivotField name="Flock ID / Name" axis="axisRow" compact="0" outline="0" multipleItemSelectionAllowed="1" showAll="0" sortType="ascending">
      <items>
        <item x="0"/>
        <item x="5"/>
        <item x="8"/>
        <item x="7"/>
        <item x="2"/>
        <item x="1"/>
        <item x="3"/>
        <item x="6"/>
        <item x="4"/>
        <item t="default"/>
      </items>
    </pivotField>
    <pivotField name="Breed / Strain" compact="0" outline="0" multipleItemSelectionAllowed="1" showAll="0">
      <items>
        <item x="0"/>
        <item x="1"/>
        <item x="2"/>
        <item t="default"/>
      </items>
    </pivotField>
    <pivotField name="Head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a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w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amb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vg Age (month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vg Weight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ody Condition Score (avg, 1–5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rtality (last 30 days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rtality 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ealth Treatments Give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ccination Status" compact="0" outline="0" multipleItemSelectionAllowed="1" showAll="0">
      <items>
        <item x="0"/>
        <item x="1"/>
        <item t="default"/>
      </items>
    </pivotField>
    <pivotField name="Deworming Status" compact="0" outline="0" multipleItemSelectionAllowed="1" showAll="0">
      <items>
        <item x="0"/>
        <item x="1"/>
        <item t="default"/>
      </items>
    </pivotField>
    <pivotField name="Reproduction Cyc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mbing %" compact="0" numFmtId="10" outline="0" multipleItemSelectionAllowed="1" showAll="0">
      <items>
        <item x="0"/>
        <item x="1"/>
        <item x="2"/>
        <item t="default"/>
      </items>
    </pivotField>
    <pivotField name="Weaning %" compact="0" numFmtId="10" outline="0" multipleItemSelectionAllowed="1" showAll="0">
      <items>
        <item x="0"/>
        <item x="1"/>
        <item x="2"/>
        <item t="default"/>
      </items>
    </pivotField>
    <pivotField name="Wool / Fleece Weight (kg per head)" compact="0" outline="0" multipleItemSelectionAllowed="1" showAll="0">
      <items>
        <item x="0"/>
        <item x="1"/>
        <item x="2"/>
        <item x="3"/>
        <item t="default"/>
      </items>
    </pivotField>
    <pivotField name="Shearing 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ed / Suppl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razing 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ater Source" compact="0" outline="0" multipleItemSelectionAllowed="1" showAll="0">
      <items>
        <item x="0"/>
        <item x="1"/>
        <item x="2"/>
        <item x="3"/>
        <item t="default"/>
      </items>
    </pivotField>
    <pivotField name="Input Costs (R/hea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put Value (R/head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t Margi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sponsible Person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dataFields>
    <dataField name="AVERAGE of Net Margin" fld="25" subtotal="average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AD14" displayName="Farms" name="Farms" id="1">
  <tableColumns count="30">
    <tableColumn name="ID" id="1"/>
    <tableColumn name="Farm Name" id="2"/>
    <tableColumn name="Status" id="3"/>
    <tableColumn name="Relationship" id="4"/>
    <tableColumn name="Province/District" id="5"/>
    <tableColumn name="Title Deed / Notes" id="6"/>
    <tableColumn name="Nearest Town" id="7"/>
    <tableColumn name="Distance from Cloudskraal (km)" id="8"/>
    <tableColumn name="Size (ha)" id="9"/>
    <tableColumn name="Primary Enterprise" id="10"/>
    <tableColumn name="Annual Production Capacity" id="11"/>
    <tableColumn name="Water Source" id="12"/>
    <tableColumn name="Power" id="13"/>
    <tableColumn name="Key Infrastructure" id="14"/>
    <tableColumn name="Soil/Topo Notes" id="15"/>
    <tableColumn name="GPS (lat,lon)" id="16"/>
    <tableColumn name="Ownership/Counterparty" id="17"/>
    <tableColumn name="Contact" id="18"/>
    <tableColumn name="Deal Terms" id="19"/>
    <tableColumn name="Capex Needed (R)" id="20"/>
    <tableColumn name="Opex/Yr (R)" id="21"/>
    <tableColumn name="Target ROI/IRR (%)" id="22"/>
    <tableColumn name="Strategic Fit" id="23"/>
    <tableColumn name="Risk Level" id="24"/>
    <tableColumn name="Priority" id="25"/>
    <tableColumn name="Next Action" id="26"/>
    <tableColumn name="Owner" id="27"/>
    <tableColumn name="Target Date (yyyy-mm-dd)" id="28"/>
    <tableColumn name="Notes" id="29"/>
    <tableColumn name="Readiness Score (0–100)" id="30"/>
  </tableColumns>
  <tableStyleInfo name="Farms-style" showColumnStripes="0" showFirstColumn="1" showLastColumn="1" showRowStripes="1"/>
</table>
</file>

<file path=xl/tables/table2.xml><?xml version="1.0" encoding="utf-8"?>
<table xmlns="http://schemas.openxmlformats.org/spreadsheetml/2006/main" ref="A1:W11" displayName="Fields" name="Fields" id="2">
  <tableColumns count="23">
    <tableColumn name="Field Name / Identifier" id="1"/>
    <tableColumn name="Farm Name (Linked)" id="2"/>
    <tableColumn name="Field ID" id="3"/>
    <tableColumn name="Title Deed / Notes" id="4"/>
    <tableColumn name="Size (ha)" id="5"/>
    <tableColumn name="Perimeter (m)" id="6"/>
    <tableColumn name="Crop / Enterprise" id="7"/>
    <tableColumn name="Current Status" id="8"/>
    <tableColumn name="Planting Date (yyyy-mm-dd)" id="9"/>
    <tableColumn name="Harvest Date (yyyy-mm-dd)" id="10"/>
    <tableColumn name="Yield Target (kg or t/ha)" id="11"/>
    <tableColumn name="Soil Type" id="12"/>
    <tableColumn name="Irrigation Type" id="13"/>
    <tableColumn name="Water Source" id="14"/>
    <tableColumn name="Fertility / Input Notes" id="15"/>
    <tableColumn name="Weed / Pest Pressure" id="16"/>
    <tableColumn name="Risk Level" id="17"/>
    <tableColumn name="Last Activity" id="18"/>
    <tableColumn name="Next Action" id="19"/>
    <tableColumn name="Responsible Person" id="20"/>
    <tableColumn name="GPS / Shape ID" id="21"/>
    <tableColumn name="Notes" id="22"/>
    <tableColumn name="% of Farm Area" id="23"/>
  </tableColumns>
  <tableStyleInfo name="Fields-style" showColumnStripes="0" showFirstColumn="1" showLastColumn="1" showRowStripes="1"/>
</table>
</file>

<file path=xl/tables/table3.xml><?xml version="1.0" encoding="utf-8"?>
<table xmlns="http://schemas.openxmlformats.org/spreadsheetml/2006/main" ref="A1:W9" displayName="Table2" name="Table2" id="3">
  <tableColumns count="23">
    <tableColumn name="Supplier Name" id="1"/>
    <tableColumn name="Legal Entity" id="2"/>
    <tableColumn name="VAT Number" id="3"/>
    <tableColumn name="B-BBEE Level" id="4"/>
    <tableColumn name="Registration / CSD No" id="5"/>
    <tableColumn name="Primary Contact" id="6"/>
    <tableColumn name="Phone" id="7"/>
    <tableColumn name="Email" id="8"/>
    <tableColumn name="Website" id="9"/>
    <tableColumn name="Physical Address" id="10"/>
    <tableColumn name="Delivery Regions" id="11"/>
    <tableColumn name="Product Categories" id="12"/>
    <tableColumn name="Payment Terms" id="13"/>
    <tableColumn name="Preferred Supplier" id="14"/>
    <tableColumn name="Incoterms / Delivery" id="15"/>
    <tableColumn name="Minimum Order Qty / Value" id="16"/>
    <tableColumn name="Lead Time (days)" id="17"/>
    <tableColumn name="Lead Time Variability" id="18"/>
    <tableColumn name="Return Policy Summary" id="19"/>
    <tableColumn name="Certifications" id="20"/>
    <tableColumn name="SDS/MSDS Link" id="21"/>
    <tableColumn name="Notes" id="22"/>
    <tableColumn name="Reliability Score" id="23"/>
  </tableColumns>
  <tableStyleInfo name="Suppliers-style" showColumnStripes="0" showFirstColumn="1" showLastColumn="1" showRowStripes="1"/>
</table>
</file>

<file path=xl/tables/table4.xml><?xml version="1.0" encoding="utf-8"?>
<table xmlns="http://schemas.openxmlformats.org/spreadsheetml/2006/main" ref="A1:V11" displayName="Customer" name="Customer" id="4">
  <tableColumns count="22">
    <tableColumn name="Customer Name" id="1"/>
    <tableColumn name="Business Type" id="2"/>
    <tableColumn name="Legal Entity" id="3"/>
    <tableColumn name="VAT Number" id="4"/>
    <tableColumn name="Registration No / Importer No" id="5"/>
    <tableColumn name="Primary Contact" id="6"/>
    <tableColumn name="Phone" id="7"/>
    <tableColumn name="Email" id="8"/>
    <tableColumn name="Website" id="9"/>
    <tableColumn name="Physical Address" id="10"/>
    <tableColumn name="Delivery Region / Market" id="11"/>
    <tableColumn name="Preferred Products" id="12"/>
    <tableColumn name="Contract Type" id="13"/>
    <tableColumn name="Contract Volume (annual or per cycle, with units)" id="14"/>
    <tableColumn name="Contract Price (R/unit)" id="15"/>
    <tableColumn name="Current Order Pipeline (live quantity ordered, R value)" id="16"/>
    <tableColumn name="Payment Terms" id="17"/>
    <tableColumn name="Payment Status" id="18"/>
    <tableColumn name="Logistics / Delivery Terms" id="19"/>
    <tableColumn name="Certifications Required" id="20"/>
    <tableColumn name="Notes" id="21"/>
    <tableColumn name="Reliability Score" id="22"/>
  </tableColumns>
  <tableStyleInfo name="Customer-style" showColumnStripes="0" showFirstColumn="1" showLastColumn="1" showRowStripes="1"/>
</table>
</file>

<file path=xl/tables/table5.xml><?xml version="1.0" encoding="utf-8"?>
<table xmlns="http://schemas.openxmlformats.org/spreadsheetml/2006/main" ref="A1:X11" displayName="Output" name="Output" id="5">
  <tableColumns count="24">
    <tableColumn name="Output ID" id="1"/>
    <tableColumn name="Date" id="2"/>
    <tableColumn name="Farm Name" id="3"/>
    <tableColumn name="Field Name" id="4"/>
    <tableColumn name="Output Category" id="5"/>
    <tableColumn name="Product Name" id="6"/>
    <tableColumn name="Variety / Breed" id="7"/>
    <tableColumn name="Quantity" id="8"/>
    <tableColumn name="Unit" id="9"/>
    <tableColumn name="Quality Grade" id="10"/>
    <tableColumn name="Buyer / Customer" id="11"/>
    <tableColumn name="Destination / Market" id="12"/>
    <tableColumn name="Price per Unit (R)" id="13"/>
    <tableColumn name="Total Value" id="14"/>
    <tableColumn name="Invoice / Delivery Note Ref" id="15"/>
    <tableColumn name="Certification" id="16"/>
    <tableColumn name="Logistics Partner" id="17"/>
    <tableColumn name="Storage Location" id="18"/>
    <tableColumn name="Costs Allocated (R)" id="19"/>
    <tableColumn name="Net Margin (R)" id="20"/>
    <tableColumn name="Payment Terms" id="21"/>
    <tableColumn name="Payment Status" id="22"/>
    <tableColumn name="Responsible Person" id="23"/>
    <tableColumn name="Notes" id="24"/>
  </tableColumns>
  <tableStyleInfo name="Outputs-style" showColumnStripes="0" showFirstColumn="1" showLastColumn="1" showRowStripes="1"/>
</table>
</file>

<file path=xl/tables/table6.xml><?xml version="1.0" encoding="utf-8"?>
<table xmlns="http://schemas.openxmlformats.org/spreadsheetml/2006/main" ref="A1:S11" displayName="Inputs" name="Inputs" id="6">
  <tableColumns count="19">
    <tableColumn name="Input ID" id="1"/>
    <tableColumn name="Date Applied" id="2"/>
    <tableColumn name="Farm Name" id="3"/>
    <tableColumn name="Field Name" id="4"/>
    <tableColumn name="Input Category" id="5"/>
    <tableColumn name="Input Name / Product" id="6"/>
    <tableColumn name="Supplier" id="7"/>
    <tableColumn name="Batch / Invoice #" id="8"/>
    <tableColumn name="Application Rate (per ha or per litre)" id="9"/>
    <tableColumn name="Total Quantity Used" id="10"/>
    <tableColumn name="Unit" id="11"/>
    <tableColumn name="Application Method" id="12"/>
    <tableColumn name="Purpose" id="13"/>
    <tableColumn name="Labour Hrs" id="14"/>
    <tableColumn name="Cost per Unit (R)" id="15"/>
    <tableColumn name="Total Cost" id="16"/>
    <tableColumn name="Responsible Person" id="17"/>
    <tableColumn name="Next Action / Follow-up" id="18"/>
    <tableColumn name="Notes" id="19"/>
  </tableColumns>
  <tableStyleInfo name="Inputs-style" showColumnStripes="0" showFirstColumn="1" showLastColumn="1" showRowStripes="1"/>
</table>
</file>

<file path=xl/tables/table7.xml><?xml version="1.0" encoding="utf-8"?>
<table xmlns="http://schemas.openxmlformats.org/spreadsheetml/2006/main" ref="A1:R11" displayName="Equipment" name="Equipment" id="7">
  <tableColumns count="18">
    <tableColumn name="Equipment ID" id="1"/>
    <tableColumn name="Farm Name" id="2"/>
    <tableColumn name="Equipment Type" id="3"/>
    <tableColumn name="Make" id="4"/>
    <tableColumn name="Model" id="5"/>
    <tableColumn name="Year" id="6"/>
    <tableColumn name="Serial Number" id="7"/>
    <tableColumn name="Status" id="8"/>
    <tableColumn name="Last Service Date" id="9"/>
    <tableColumn name="Next Service Due (Date)" id="10"/>
    <tableColumn name="Condition" id="11"/>
    <tableColumn name="Ownership" id="12"/>
    <tableColumn name="Acquisition Date" id="13"/>
    <tableColumn name="Purchase Price (R)" id="14"/>
    <tableColumn name="Supplier / Dealer" id="15"/>
    <tableColumn name="Warranty Expiry" id="16"/>
    <tableColumn name="Responsible Person" id="17"/>
    <tableColumn name="Notes" id="18"/>
  </tableColumns>
  <tableStyleInfo name="Equipment-style" showColumnStripes="0" showFirstColumn="1" showLastColumn="1" showRowStripes="1"/>
</table>
</file>

<file path=xl/tables/table8.xml><?xml version="1.0" encoding="utf-8"?>
<table xmlns="http://schemas.openxmlformats.org/spreadsheetml/2006/main" ref="A1:AN11" displayName="Equipment_Master" name="Equipment_Master" id="8">
  <tableColumns count="40">
    <tableColumn name="Asset ID" id="1"/>
    <tableColumn name="Asset Type" id="2"/>
    <tableColumn name="Make" id="3"/>
    <tableColumn name="Model" id="4"/>
    <tableColumn name="Year" id="5"/>
    <tableColumn name="Serial/VIN" id="6"/>
    <tableColumn name="Registration/Plate" id="7"/>
    <tableColumn name="Farm Name" id="8"/>
    <tableColumn name="Location / Field" id="9"/>
    <tableColumn name="Status" id="10"/>
    <tableColumn name="Owner/Lease" id="11"/>
    <tableColumn name="Acquisition Date" id="12"/>
    <tableColumn name="Supplier / Dealer" id="13"/>
    <tableColumn name="Purchase Price (R)" id="14"/>
    <tableColumn name="Est. Current Value (R)" id="15"/>
    <tableColumn name="Depreciation Method" id="16"/>
    <tableColumn name="Useful Life (years)" id="17"/>
    <tableColumn name="Meter Type" id="18"/>
    <tableColumn name="Current Meter Reading" id="19"/>
    <tableColumn name="Last Service Date" id="20"/>
    <tableColumn name="Last Service Meter" id="21"/>
    <tableColumn name="Service Interval (Hours)" id="22"/>
    <tableColumn name="Next Service Due (Hours)" id="23"/>
    <tableColumn name="Next Service Date" id="24"/>
    <tableColumn name="Fuel Type" id="25"/>
    <tableColumn name="Avg Fuel Use (L/hr or L/100km)" id="26"/>
    <tableColumn name="Tyre Size / Count" id="27"/>
    <tableColumn name="Implement Width (m)" id="28"/>
    <tableColumn name="PTO/Power (kW/HP)" id="29"/>
    <tableColumn name="Hydraulic/Notes" id="30"/>
    <tableColumn name="Service Provider" id="31"/>
    <tableColumn name="Warranty Expiry" id="32"/>
    <tableColumn name="Insurance Policy #" id="33"/>
    <tableColumn name="Documents" id="34"/>
    <tableColumn name="Condition" id="35"/>
    <tableColumn name="Criticality" id="36"/>
    <tableColumn name="Downtime (hrs YTD)" id="37"/>
    <tableColumn name="Opex YTD (R)" id="38"/>
    <tableColumn name="Capex YTD (R)" id="39"/>
    <tableColumn name="Notes" id="40"/>
  </tableColumns>
  <tableStyleInfo name="Equipment 2-style" showColumnStripes="0" showFirstColumn="1" showLastColumn="1" showRowStripes="1"/>
</table>
</file>

<file path=xl/tables/table9.xml><?xml version="1.0" encoding="utf-8"?>
<table xmlns="http://schemas.openxmlformats.org/spreadsheetml/2006/main" ref="A1:AB10" displayName="Flocks" name="Flocks" id="9">
  <tableColumns count="28">
    <tableColumn name="Farm / Paddock Name" id="1"/>
    <tableColumn name="Flock ID / Name" id="2"/>
    <tableColumn name="Breed / Strain" id="3"/>
    <tableColumn name="Head Count" id="4"/>
    <tableColumn name="Rams" id="5"/>
    <tableColumn name="Ewes" id="6"/>
    <tableColumn name="Lambs" id="7"/>
    <tableColumn name="Avg Age (months)" id="8"/>
    <tableColumn name="Avg Weight (kg)" id="9"/>
    <tableColumn name="Body Condition Score (avg, 1–5)" id="10"/>
    <tableColumn name="Mortality (last 30 days)" id="11"/>
    <tableColumn name="Mortality Reason" id="12"/>
    <tableColumn name="Health Treatments Given" id="13"/>
    <tableColumn name="Vaccination Status" id="14"/>
    <tableColumn name="Deworming Status" id="15"/>
    <tableColumn name="Reproduction Cycle" id="16"/>
    <tableColumn name="Lambing %" id="17"/>
    <tableColumn name="Weaning %" id="18"/>
    <tableColumn name="Wool / Fleece Weight (kg per head)" id="19"/>
    <tableColumn name="Shearing Date" id="20"/>
    <tableColumn name="Feed / Supplement" id="21"/>
    <tableColumn name="Grazing Area" id="22"/>
    <tableColumn name="Water Source" id="23"/>
    <tableColumn name="Input Costs (R/head)" id="24"/>
    <tableColumn name="Output Value (R/head)" id="25"/>
    <tableColumn name="Net Margin" id="26"/>
    <tableColumn name="Responsible Person" id="27"/>
    <tableColumn name="Notes" id="28"/>
  </tableColumns>
  <tableStyleInfo name="Sheep Flock-style" showColumnStripes="0" showFirstColumn="1" showLastColumn="1" showRowStripes="1"/>
</table>
</file>

<file path=xl/tables/table10.xml><?xml version="1.0" encoding="utf-8"?>
<table xmlns="http://schemas.openxmlformats.org/spreadsheetml/2006/main" totalsRowCount="1" ref="A3:AA57" displayName="Johan_Brand_Skatting_en_Werklik" name="Johan_Brand_Skatting_en_Werklik" id="10">
  <tableColumns count="27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WERKLIK" id="6"/>
    <tableColumn name="2005_x000a_WERKLIK" id="7"/>
    <tableColumn name="2006_WERKLIK" id="8"/>
    <tableColumn totalsRowFunction="custom" name="2007_WERKLIK" id="9"/>
    <tableColumn totalsRowFunction="custom" name="2008_WERKLIK" id="10"/>
    <tableColumn totalsRowFunction="custom" name="2009_WERKLIK" id="11"/>
    <tableColumn totalsRowFunction="custom" name="2010_WERKLIK" id="12"/>
    <tableColumn totalsRowFunction="custom" name="2011_WERKLIK" id="13"/>
    <tableColumn totalsRowFunction="custom" name="2012_WERKLIK" id="14"/>
    <tableColumn totalsRowFunction="custom" name="2013_WERKLIK" id="15"/>
    <tableColumn totalsRowFunction="custom" name="2014_WERKLIK" id="16"/>
    <tableColumn totalsRowFunction="custom" name="2015_WERKLIK" id="17"/>
    <tableColumn totalsRowFunction="custom" name="2016_WERKLIK" id="18"/>
    <tableColumn totalsRowFunction="custom" name="2017_WERKLIK" id="19"/>
    <tableColumn totalsRowFunction="custom" name="2018_WERKLIK" id="20"/>
    <tableColumn totalsRowFunction="custom" name="2019_WERKLIK" id="21"/>
    <tableColumn totalsRowFunction="custom" name="2020_WERKLIK" id="22"/>
    <tableColumn totalsRowFunction="custom" name="2021_WERKLIK" id="23"/>
    <tableColumn totalsRowFunction="custom" name="2022_WERKLIK" id="24"/>
    <tableColumn totalsRowFunction="custom" name="2023_WERKLIK" id="25"/>
    <tableColumn totalsRowFunction="custom" name="2024_WERKLIK" id="26"/>
    <tableColumn totalsRowFunction="custom" name="25_WERKLIK" id="27"/>
  </tableColumns>
  <tableStyleInfo name="Rooibos - JOHAN BRAND - Werklik-style" showColumnStripes="0" showFirstColumn="1" showLastColumn="1" showRowStripes="1"/>
</table>
</file>

<file path=xl/tables/table11.xml><?xml version="1.0" encoding="utf-8"?>
<table xmlns="http://schemas.openxmlformats.org/spreadsheetml/2006/main" totalsRowCount="1" ref="A59:AA113" displayName="Table1" name="Table1" id="11">
  <tableColumns count="27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WERKLIK" id="6"/>
    <tableColumn name="2005_x000a_WERKLIK" id="7"/>
    <tableColumn name="2006_WERKLIK" id="8"/>
    <tableColumn totalsRowFunction="custom" name="2007_WERKLIK" id="9"/>
    <tableColumn totalsRowFunction="custom" name="2008_WERKLIK" id="10"/>
    <tableColumn totalsRowFunction="custom" name="2009_WERKLIK" id="11"/>
    <tableColumn totalsRowFunction="custom" name="2010_WERKLIK" id="12"/>
    <tableColumn totalsRowFunction="custom" name="2011_WERKLIK" id="13"/>
    <tableColumn totalsRowFunction="custom" name="2012_WERKLIK" id="14"/>
    <tableColumn totalsRowFunction="custom" name="2013_WERKLIK" id="15"/>
    <tableColumn totalsRowFunction="custom" name="2014_WERKLIK" id="16"/>
    <tableColumn totalsRowFunction="custom" name="2015_WERKLIK" id="17"/>
    <tableColumn totalsRowFunction="custom" name="2016_WERKLIK" id="18"/>
    <tableColumn totalsRowFunction="custom" name="2017_WERKLIK" id="19"/>
    <tableColumn totalsRowFunction="custom" name="2018_WERKLIK" id="20"/>
    <tableColumn totalsRowFunction="custom" name="2019_WERKLIK" id="21"/>
    <tableColumn totalsRowFunction="custom" name="2020_WERKLIK" id="22"/>
    <tableColumn totalsRowFunction="custom" name="2021_WERKLIK" id="23"/>
    <tableColumn totalsRowFunction="custom" name="2022_WERKLIK" id="24"/>
    <tableColumn totalsRowFunction="custom" name="2023_WERKLIK" id="25"/>
    <tableColumn totalsRowFunction="custom" name="2024_WERKLIK" id="26"/>
    <tableColumn totalsRowFunction="custom" name="25_WERKLIK" id="27"/>
  </tableColumns>
  <tableStyleInfo name="Rooibos - JOHAN BRAND - Werklik-style 2" showColumnStripes="0" showFirstColumn="1" showLastColumn="1" showRowStripes="1"/>
</table>
</file>

<file path=xl/tables/table12.xml><?xml version="1.0" encoding="utf-8"?>
<table xmlns="http://schemas.openxmlformats.org/spreadsheetml/2006/main" totalsRowCount="1" ref="A3:AD57" displayName="Johan_Brand_Skatting_en_Werklik_2" name="Johan_Brand_Skatting_en_Werklik_2" id="12">
  <tableColumns count="30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OESSKAT" id="6"/>
    <tableColumn totalsRowFunction="custom" name="2005_x000a_OESSKAT" id="7"/>
    <tableColumn totalsRowFunction="custom" name="2006_x000a_OESSKAT" id="8"/>
    <tableColumn totalsRowFunction="custom" name="2007_OESSKAT" id="9"/>
    <tableColumn totalsRowFunction="custom" name="2008_OESSKAT" id="10"/>
    <tableColumn totalsRowFunction="custom" name="2009_OESSKAT" id="11"/>
    <tableColumn totalsRowFunction="custom" name="2010_OESSKAT" id="12"/>
    <tableColumn totalsRowFunction="custom" name="2011_OESSKAT" id="13"/>
    <tableColumn totalsRowFunction="custom" name="2012_OESSKAT" id="14"/>
    <tableColumn totalsRowFunction="custom" name="2013_OESSKAT" id="15"/>
    <tableColumn totalsRowFunction="custom" name="2014_OESSKAT" id="16"/>
    <tableColumn totalsRowFunction="custom" name="2015_OESSKAT" id="17"/>
    <tableColumn totalsRowFunction="custom" name="2016_OESSKAT" id="18"/>
    <tableColumn totalsRowFunction="custom" name="2017_OESSKAT" id="19"/>
    <tableColumn totalsRowFunction="custom" name="2018_OESSKAT" id="20"/>
    <tableColumn totalsRowFunction="custom" name="2019_OESSKAT" id="21"/>
    <tableColumn totalsRowFunction="custom" name="2020_OESSKAT" id="22"/>
    <tableColumn totalsRowFunction="custom" name="2021_OESSKAT" id="23"/>
    <tableColumn totalsRowFunction="custom" name="2022_OESSKAT" id="24"/>
    <tableColumn totalsRowFunction="custom" name="2023_OESSKAT" id="25"/>
    <tableColumn totalsRowFunction="custom" name="2024_OESSKAT" id="26"/>
    <tableColumn totalsRowFunction="custom" name="2025_OESSKAT" id="27"/>
    <tableColumn totalsRowFunction="custom" name="2026_OESSKAT" id="28"/>
    <tableColumn totalsRowFunction="custom" name="2027_OESSKAT" id="29"/>
    <tableColumn totalsRowFunction="custom" name="2028_OESSKAT" id="30"/>
  </tableColumns>
  <tableStyleInfo name="Rooibos - Johan Brand - Oeskatt-style" showColumnStripes="0" showFirstColumn="1" showLastColumn="1" showRowStripes="1"/>
</table>
</file>

<file path=xl/tables/table13.xml><?xml version="1.0" encoding="utf-8"?>
<table xmlns="http://schemas.openxmlformats.org/spreadsheetml/2006/main" totalsRowCount="1" ref="A60:AD114" displayName="Opbrengs_per_hektaar" name="Opbrengs_per_hektaar" id="13">
  <tableColumns count="30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OESSKAT" id="6"/>
    <tableColumn totalsRowFunction="custom" name="2005_x000a_OESSKAT" id="7"/>
    <tableColumn totalsRowFunction="custom" name="2006_x000a_OESSKAT" id="8"/>
    <tableColumn totalsRowFunction="custom" name="2007_OESSKAT" id="9"/>
    <tableColumn totalsRowFunction="custom" name="2008_OESSKAT" id="10"/>
    <tableColumn totalsRowFunction="custom" name="2009_OESSKAT" id="11"/>
    <tableColumn totalsRowFunction="custom" name="2010_OESSKAT" id="12"/>
    <tableColumn totalsRowFunction="custom" name="2011_OESSKAT" id="13"/>
    <tableColumn totalsRowFunction="custom" name="2012_OESSKAT" id="14"/>
    <tableColumn totalsRowFunction="custom" name="2013_OESSKAT" id="15"/>
    <tableColumn totalsRowFunction="custom" name="2014_OESSKAT" id="16"/>
    <tableColumn totalsRowFunction="custom" name="2015_OESSKAT" id="17"/>
    <tableColumn totalsRowFunction="custom" name="2016_OESSKAT" id="18"/>
    <tableColumn totalsRowFunction="custom" name="2017_OESSKAT" id="19"/>
    <tableColumn totalsRowFunction="custom" name="2018_OESSKAT" id="20"/>
    <tableColumn totalsRowFunction="custom" name="2019_OESSKAT" id="21"/>
    <tableColumn totalsRowFunction="custom" name="2020_OESSKAT" id="22"/>
    <tableColumn totalsRowFunction="custom" name="2021_OESSKAT" id="23"/>
    <tableColumn totalsRowFunction="custom" name="2022_OESSKAT" id="24"/>
    <tableColumn totalsRowFunction="custom" name="2023_OESSKAT" id="25"/>
    <tableColumn totalsRowFunction="custom" name="2024_OESSKAT" id="26"/>
    <tableColumn totalsRowFunction="custom" name="2025_OESSKAT" id="27"/>
    <tableColumn totalsRowFunction="custom" name="2026_OESSKAT" id="28"/>
    <tableColumn totalsRowFunction="custom" name="2027_OESSKAT" id="29"/>
    <tableColumn totalsRowFunction="custom" name="2028_OESSKAT" id="30"/>
  </tableColumns>
  <tableStyleInfo name="Rooibos - Johan Brand - Oeskatt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117:E169" displayName="Table_1" name="Table_1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Rooibos - Johan Brand - Oeskatt-style 3" showColumnStripes="0" showFirstColumn="1" showLastColumn="1" showRowStripes="1"/>
</table>
</file>

<file path=xl/tables/table15.xml><?xml version="1.0" encoding="utf-8"?>
<table xmlns="http://schemas.openxmlformats.org/spreadsheetml/2006/main" totalsRowCount="1" ref="A3:AZ57" displayName="Johan_Brand_Skatting_en_Werklik_3" name="Johan_Brand_Skatting_en_Werklik_3" id="15">
  <tableColumns count="52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OESSKAT" id="6"/>
    <tableColumn name="Column 31" id="7"/>
    <tableColumn totalsRowFunction="custom" name="2005_x000a_OESSKAT" id="8"/>
    <tableColumn name="Column 32" id="9"/>
    <tableColumn totalsRowFunction="custom" name="2006_x000a_OESSKAT" id="10"/>
    <tableColumn name="Column 33" id="11"/>
    <tableColumn totalsRowFunction="custom" name="2007_OESSKAT" id="12"/>
    <tableColumn name="Column 34" id="13"/>
    <tableColumn totalsRowFunction="custom" name="2008_OESSKAT" id="14"/>
    <tableColumn name="Column 35" id="15"/>
    <tableColumn totalsRowFunction="custom" name="2009_OESSKAT" id="16"/>
    <tableColumn name="Column 36" id="17"/>
    <tableColumn totalsRowFunction="custom" name="2010_OESSKAT" id="18"/>
    <tableColumn name="Column 37" id="19"/>
    <tableColumn totalsRowFunction="custom" name="2011_OESSKAT" id="20"/>
    <tableColumn name="Column 38" id="21"/>
    <tableColumn totalsRowFunction="custom" name="2012_OESSKAT" id="22"/>
    <tableColumn name="Column 39" id="23"/>
    <tableColumn totalsRowFunction="custom" name="2013_OESSKAT" id="24"/>
    <tableColumn name="Column 40" id="25"/>
    <tableColumn totalsRowFunction="custom" name="2014_OESSKAT" id="26"/>
    <tableColumn name="Column 41" id="27"/>
    <tableColumn totalsRowFunction="custom" name="2015_OESSKAT" id="28"/>
    <tableColumn name="Column 42" id="29"/>
    <tableColumn totalsRowFunction="custom" name="2016_OESSKAT" id="30"/>
    <tableColumn name="Column 43" id="31"/>
    <tableColumn totalsRowFunction="custom" name="2017_OESSKAT" id="32"/>
    <tableColumn name="Column 44" id="33"/>
    <tableColumn totalsRowFunction="custom" name="2018_OESSKAT" id="34"/>
    <tableColumn name="Column 45" id="35"/>
    <tableColumn totalsRowFunction="custom" name="2019_OESSKAT" id="36"/>
    <tableColumn name="Column 46" id="37"/>
    <tableColumn totalsRowFunction="custom" name="2020_OESSKAT" id="38"/>
    <tableColumn name="Column 47" id="39"/>
    <tableColumn totalsRowFunction="custom" name="2021_OESSKAT" id="40"/>
    <tableColumn name="Column 48" id="41"/>
    <tableColumn totalsRowFunction="custom" name="2022_OESSKAT" id="42"/>
    <tableColumn name="Column 49" id="43"/>
    <tableColumn totalsRowFunction="custom" name="2023_OESSKAT" id="44"/>
    <tableColumn name="Column 50" id="45"/>
    <tableColumn totalsRowFunction="custom" name="2024_OESSKAT" id="46"/>
    <tableColumn name="Column 51" id="47"/>
    <tableColumn totalsRowFunction="custom" name="2025_OESSKAT" id="48"/>
    <tableColumn name="Column 52" id="49"/>
    <tableColumn totalsRowFunction="custom" name="2026_OESSKAT" id="50"/>
    <tableColumn totalsRowFunction="custom" name="2027_OESSKAT" id="51"/>
    <tableColumn totalsRowFunction="custom" name="2028_OESSKAT" id="52"/>
  </tableColumns>
  <tableStyleInfo name="Copy of Oeskatting-style" showColumnStripes="0" showFirstColumn="1" showLastColumn="1" showRowStripes="1"/>
</table>
</file>

<file path=xl/tables/table16.xml><?xml version="1.0" encoding="utf-8"?>
<table xmlns="http://schemas.openxmlformats.org/spreadsheetml/2006/main" totalsRowCount="1" ref="A60:AZ114" displayName="Opbrengs_per_hektaar_2" name="Opbrengs_per_hektaar_2" id="16">
  <tableColumns count="52">
    <tableColumn name="PLAASNAAM" id="1"/>
    <tableColumn name="LANDNAAM" id="2"/>
    <tableColumn name="LANDNO" id="3"/>
    <tableColumn totalsRowFunction="custom" name="GEPLANT" id="4"/>
    <tableColumn totalsRowFunction="custom" name="HEKTAAR" id="5"/>
    <tableColumn name="2004_x000a_OESSKAT" id="6"/>
    <tableColumn name="Column 31" id="7"/>
    <tableColumn totalsRowFunction="custom" name="2005_x000a_OESSKAT" id="8"/>
    <tableColumn name="Column 32" id="9"/>
    <tableColumn totalsRowFunction="custom" name="2006_x000a_OESSKAT" id="10"/>
    <tableColumn name="Column 33" id="11"/>
    <tableColumn totalsRowFunction="custom" name="2007_OESSKAT" id="12"/>
    <tableColumn name="Column 34" id="13"/>
    <tableColumn totalsRowFunction="custom" name="2008_OESSKAT" id="14"/>
    <tableColumn name="Column 35" id="15"/>
    <tableColumn totalsRowFunction="custom" name="2009_OESSKAT" id="16"/>
    <tableColumn name="Column 36" id="17"/>
    <tableColumn totalsRowFunction="custom" name="2010_OESSKAT" id="18"/>
    <tableColumn name="Column 37" id="19"/>
    <tableColumn totalsRowFunction="custom" name="2011_OESSKAT" id="20"/>
    <tableColumn name="Column 38" id="21"/>
    <tableColumn totalsRowFunction="custom" name="2012_OESSKAT" id="22"/>
    <tableColumn name="Column 39" id="23"/>
    <tableColumn totalsRowFunction="custom" name="2013_OESSKAT" id="24"/>
    <tableColumn name="Column 40" id="25"/>
    <tableColumn totalsRowFunction="custom" name="2014_OESSKAT" id="26"/>
    <tableColumn name="Column 41" id="27"/>
    <tableColumn totalsRowFunction="custom" name="2015_OESSKAT" id="28"/>
    <tableColumn name="Column 42" id="29"/>
    <tableColumn totalsRowFunction="custom" name="2016_OESSKAT" id="30"/>
    <tableColumn name="Column 43" id="31"/>
    <tableColumn totalsRowFunction="custom" name="2017_OESSKAT" id="32"/>
    <tableColumn name="Column 44" id="33"/>
    <tableColumn totalsRowFunction="custom" name="2018_OESSKAT" id="34"/>
    <tableColumn name="Column 45" id="35"/>
    <tableColumn totalsRowFunction="custom" name="2019_OESSKAT" id="36"/>
    <tableColumn name="Column 46" id="37"/>
    <tableColumn totalsRowFunction="custom" name="2020_OESSKAT" id="38"/>
    <tableColumn name="Column 47" id="39"/>
    <tableColumn totalsRowFunction="custom" name="2021_OESSKAT" id="40"/>
    <tableColumn name="Column 48" id="41"/>
    <tableColumn totalsRowFunction="custom" name="2022_OESSKAT" id="42"/>
    <tableColumn name="Column 49" id="43"/>
    <tableColumn totalsRowFunction="custom" name="2023_OESSKAT" id="44"/>
    <tableColumn name="Column 50" id="45"/>
    <tableColumn totalsRowFunction="custom" name="2024_OESSKAT" id="46"/>
    <tableColumn name="Column 51" id="47"/>
    <tableColumn totalsRowFunction="custom" name="2025_OESSKAT" id="48"/>
    <tableColumn name="Column 52" id="49"/>
    <tableColumn totalsRowFunction="custom" name="2026_OESSKAT" id="50"/>
    <tableColumn totalsRowFunction="custom" name="2027_OESSKAT" id="51"/>
    <tableColumn totalsRowFunction="custom" name="2028_OESSKAT" id="52"/>
  </tableColumns>
  <tableStyleInfo name="Copy of Oeskatt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Nieuwoudtville/data=!4m2!3m1!19sChIJx9yLnsWTMRwRfhcIO1Yh-Mw" TargetMode="External"/><Relationship Id="rId10" Type="http://schemas.openxmlformats.org/officeDocument/2006/relationships/hyperlink" Target="https://www.google.com/maps/place/Nieuwoudtville/data=!4m2!3m1!19sChIJx9yLnsWTMRwRfhcIO1Yh-Mw" TargetMode="External"/><Relationship Id="rId13" Type="http://schemas.openxmlformats.org/officeDocument/2006/relationships/hyperlink" Target="https://www.google.com/maps/place/Nieuwoudtville/data=!4m2!3m1!19sChIJx9yLnsWTMRwRfhcIO1Yh-Mw" TargetMode="External"/><Relationship Id="rId12" Type="http://schemas.openxmlformats.org/officeDocument/2006/relationships/hyperlink" Target="https://www.google.com/maps/place/Nieuwoudtville/data=!4m2!3m1!19sChIJx9yLnsWTMRwRfhcIO1Yh-Mw" TargetMode="External"/><Relationship Id="rId1" Type="http://schemas.openxmlformats.org/officeDocument/2006/relationships/hyperlink" Target="https://www.google.com/maps/place/Nieuwoudtville/data=!4m2!3m1!19sChIJx9yLnsWTMRwRfhcIO1Yh-Mw" TargetMode="External"/><Relationship Id="rId2" Type="http://schemas.openxmlformats.org/officeDocument/2006/relationships/hyperlink" Target="https://www.google.com/maps/place/Nieuwoudtville/data=!4m2!3m1!19sChIJx9yLnsWTMRwRfhcIO1Yh-Mw" TargetMode="External"/><Relationship Id="rId3" Type="http://schemas.openxmlformats.org/officeDocument/2006/relationships/hyperlink" Target="https://www.google.com/maps/place/Nieuwoudtville/data=!4m2!3m1!19sChIJx9yLnsWTMRwRfhcIO1Yh-Mw" TargetMode="External"/><Relationship Id="rId4" Type="http://schemas.openxmlformats.org/officeDocument/2006/relationships/hyperlink" Target="https://www.google.com/maps/place/Nieuwoudtville/data=!4m2!3m1!19sChIJx9yLnsWTMRwRfhcIO1Yh-Mw" TargetMode="External"/><Relationship Id="rId9" Type="http://schemas.openxmlformats.org/officeDocument/2006/relationships/hyperlink" Target="https://www.google.com/maps/place/Nieuwoudtville/data=!4m2!3m1!19sChIJx9yLnsWTMRwRfhcIO1Yh-Mw" TargetMode="External"/><Relationship Id="rId14" Type="http://schemas.openxmlformats.org/officeDocument/2006/relationships/drawing" Target="../drawings/drawing2.xml"/><Relationship Id="rId16" Type="http://schemas.openxmlformats.org/officeDocument/2006/relationships/table" Target="../tables/table1.xml"/><Relationship Id="rId5" Type="http://schemas.openxmlformats.org/officeDocument/2006/relationships/hyperlink" Target="https://www.google.com/maps/place/Nieuwoudtville/data=!4m2!3m1!19sChIJx9yLnsWTMRwRfhcIO1Yh-Mw" TargetMode="External"/><Relationship Id="rId6" Type="http://schemas.openxmlformats.org/officeDocument/2006/relationships/hyperlink" Target="https://www.google.com/maps/place/Nieuwoudtville/data=!4m2!3m1!19sChIJx9yLnsWTMRwRfhcIO1Yh-Mw" TargetMode="External"/><Relationship Id="rId7" Type="http://schemas.openxmlformats.org/officeDocument/2006/relationships/hyperlink" Target="https://www.google.com/maps/place/Nieuwoudtville/data=!4m2!3m1!19sChIJx9yLnsWTMRwRfhcIO1Yh-Mw" TargetMode="External"/><Relationship Id="rId8" Type="http://schemas.openxmlformats.org/officeDocument/2006/relationships/hyperlink" Target="https://www.google.com/maps/place/Nieuwoudtville/data=!4m2!3m1!19sChIJx9yLnsWTMRwRfhcIO1Yh-M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Relationship Id="rId4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2.75"/>
    <col customWidth="1" min="4" max="4" width="7.63"/>
    <col customWidth="1" min="5" max="7" width="35.13"/>
    <col customWidth="1" min="8" max="8" width="28.88"/>
    <col customWidth="1" min="9" max="10" width="24.75"/>
    <col customWidth="1" min="11" max="11" width="14.5"/>
    <col customWidth="1" min="12" max="12" width="12.38"/>
    <col customWidth="1" min="13" max="13" width="14.13"/>
    <col customWidth="1" min="14" max="14" width="13.88"/>
    <col customWidth="1" min="15" max="26" width="7.63"/>
  </cols>
  <sheetData>
    <row r="1" ht="14.25" customHeight="1">
      <c r="H1" s="1"/>
      <c r="I1" s="1"/>
      <c r="J1" s="1"/>
    </row>
    <row r="2" ht="14.25" customHeight="1">
      <c r="H2" s="1"/>
      <c r="I2" s="1"/>
      <c r="J2" s="1"/>
    </row>
    <row r="3" ht="14.25" customHeight="1">
      <c r="H3" s="1"/>
      <c r="I3" s="1"/>
      <c r="J3" s="1"/>
    </row>
    <row r="4" ht="14.25" customHeight="1">
      <c r="E4" s="2" t="s">
        <v>0</v>
      </c>
      <c r="F4" s="2" t="s">
        <v>1</v>
      </c>
      <c r="G4" s="2" t="s">
        <v>2</v>
      </c>
      <c r="H4" s="3" t="s">
        <v>3</v>
      </c>
      <c r="I4" s="4" t="s">
        <v>4</v>
      </c>
      <c r="J4" s="2" t="s">
        <v>5</v>
      </c>
    </row>
    <row r="5" ht="14.25" customHeight="1">
      <c r="C5" s="1"/>
      <c r="E5" s="5" t="s">
        <v>6</v>
      </c>
      <c r="F5" s="1">
        <f t="shared" ref="F5:F46" si="1">G5-H5</f>
        <v>750.798</v>
      </c>
      <c r="G5" s="1">
        <f>H5*1.3</f>
        <v>3253.458</v>
      </c>
      <c r="H5" s="6">
        <v>2502.66</v>
      </c>
      <c r="I5" s="6">
        <v>1266.21</v>
      </c>
      <c r="J5" s="1">
        <v>5090.79</v>
      </c>
    </row>
    <row r="6" ht="14.25" customHeight="1">
      <c r="C6" s="1"/>
      <c r="E6" s="5" t="s">
        <v>7</v>
      </c>
      <c r="F6" s="1">
        <f t="shared" si="1"/>
        <v>-12656.62</v>
      </c>
      <c r="G6" s="1"/>
      <c r="H6" s="6">
        <v>12656.62</v>
      </c>
      <c r="I6" s="6">
        <v>10357.33</v>
      </c>
      <c r="J6" s="1">
        <v>26518.21</v>
      </c>
    </row>
    <row r="7" ht="14.25" customHeight="1">
      <c r="C7" s="1"/>
      <c r="E7" s="5" t="s">
        <v>8</v>
      </c>
      <c r="F7" s="1">
        <f t="shared" si="1"/>
        <v>355727.28</v>
      </c>
      <c r="G7" s="1">
        <f>H7*2</f>
        <v>711454.56</v>
      </c>
      <c r="H7" s="6">
        <v>355727.28</v>
      </c>
      <c r="I7" s="6">
        <v>415528.13</v>
      </c>
      <c r="J7" s="1">
        <v>674535.45</v>
      </c>
    </row>
    <row r="8" ht="14.25" customHeight="1">
      <c r="C8" s="1"/>
      <c r="E8" s="5" t="s">
        <v>9</v>
      </c>
      <c r="F8" s="1">
        <f t="shared" si="1"/>
        <v>6480</v>
      </c>
      <c r="G8" s="1">
        <f>H8*5</f>
        <v>8100</v>
      </c>
      <c r="H8" s="6">
        <v>1620.0</v>
      </c>
      <c r="I8" s="6">
        <v>1595.02</v>
      </c>
      <c r="J8" s="1">
        <v>1563.9</v>
      </c>
    </row>
    <row r="9" ht="14.25" customHeight="1">
      <c r="C9" s="1"/>
      <c r="E9" s="5" t="s">
        <v>10</v>
      </c>
      <c r="F9" s="1">
        <f t="shared" si="1"/>
        <v>266965.1</v>
      </c>
      <c r="G9" s="1">
        <f>H9*2</f>
        <v>533930.2</v>
      </c>
      <c r="H9" s="6">
        <v>266965.1</v>
      </c>
      <c r="I9" s="6">
        <v>524450.34</v>
      </c>
      <c r="J9" s="1">
        <v>567176.87</v>
      </c>
    </row>
    <row r="10" ht="14.25" customHeight="1">
      <c r="C10" s="1"/>
      <c r="E10" s="5" t="s">
        <v>11</v>
      </c>
      <c r="F10" s="1">
        <f t="shared" si="1"/>
        <v>613.321</v>
      </c>
      <c r="G10" s="1">
        <f>H10*1.1</f>
        <v>6746.531</v>
      </c>
      <c r="H10" s="6">
        <v>6133.21</v>
      </c>
      <c r="I10" s="6">
        <v>6606.09</v>
      </c>
      <c r="J10" s="1">
        <v>8026.86</v>
      </c>
    </row>
    <row r="11" ht="14.25" customHeight="1">
      <c r="C11" s="1">
        <f>G11</f>
        <v>47107.52</v>
      </c>
      <c r="D11" s="7">
        <v>1.0</v>
      </c>
      <c r="E11" s="5" t="s">
        <v>12</v>
      </c>
      <c r="F11" s="1">
        <f t="shared" si="1"/>
        <v>1193.18</v>
      </c>
      <c r="G11" s="1">
        <f>I11</f>
        <v>47107.52</v>
      </c>
      <c r="H11" s="6">
        <v>45914.34</v>
      </c>
      <c r="I11" s="6">
        <v>47107.52</v>
      </c>
      <c r="J11" s="1">
        <v>41678.31</v>
      </c>
    </row>
    <row r="12" ht="14.25" customHeight="1">
      <c r="C12" s="1"/>
      <c r="E12" s="5" t="s">
        <v>13</v>
      </c>
      <c r="F12" s="1">
        <f t="shared" si="1"/>
        <v>6782.38</v>
      </c>
      <c r="G12" s="1">
        <f t="shared" ref="G12:G13" si="2">J12</f>
        <v>6782.38</v>
      </c>
      <c r="H12" s="6"/>
      <c r="I12" s="6">
        <v>3615.84</v>
      </c>
      <c r="J12" s="1">
        <v>6782.38</v>
      </c>
    </row>
    <row r="13" ht="14.25" customHeight="1">
      <c r="C13" s="1"/>
      <c r="E13" s="5" t="s">
        <v>14</v>
      </c>
      <c r="F13" s="1">
        <f t="shared" si="1"/>
        <v>-1015.12</v>
      </c>
      <c r="G13" s="1">
        <f t="shared" si="2"/>
        <v>1228.67</v>
      </c>
      <c r="H13" s="6">
        <v>2243.79</v>
      </c>
      <c r="I13" s="6">
        <v>1624.65</v>
      </c>
      <c r="J13" s="1">
        <v>1228.67</v>
      </c>
    </row>
    <row r="14" ht="14.25" customHeight="1">
      <c r="C14" s="1"/>
      <c r="E14" s="5" t="s">
        <v>15</v>
      </c>
      <c r="F14" s="1" t="str">
        <f t="shared" si="1"/>
        <v>#REF!</v>
      </c>
      <c r="G14" s="8">
        <f>I14</f>
        <v>178428.08</v>
      </c>
      <c r="H14" s="9" t="str">
        <f>Sheet1!B215</f>
        <v>#REF!</v>
      </c>
      <c r="I14" s="6">
        <v>178428.08</v>
      </c>
      <c r="J14" s="1">
        <v>174034.59</v>
      </c>
    </row>
    <row r="15" ht="14.25" customHeight="1">
      <c r="C15" s="1"/>
      <c r="E15" s="5" t="s">
        <v>16</v>
      </c>
      <c r="F15" s="1" t="str">
        <f t="shared" si="1"/>
        <v>#REF!</v>
      </c>
      <c r="G15" s="1">
        <v>10000.0</v>
      </c>
      <c r="H15" s="9" t="str">
        <f>Sheet1!B220</f>
        <v>#REF!</v>
      </c>
      <c r="I15" s="6">
        <v>-26646.98</v>
      </c>
      <c r="J15" s="1">
        <v>66888.0</v>
      </c>
    </row>
    <row r="16" ht="14.25" customHeight="1">
      <c r="C16" s="1">
        <f t="shared" ref="C16:C17" si="3">G16</f>
        <v>1016373.56</v>
      </c>
      <c r="D16" s="7">
        <v>1.0</v>
      </c>
      <c r="E16" s="5" t="s">
        <v>17</v>
      </c>
      <c r="F16" s="1">
        <f t="shared" si="1"/>
        <v>0</v>
      </c>
      <c r="G16" s="1">
        <f>H16</f>
        <v>1016373.56</v>
      </c>
      <c r="H16" s="6">
        <v>1016373.56</v>
      </c>
      <c r="I16" s="6">
        <v>1076544.6</v>
      </c>
      <c r="J16" s="1">
        <v>997009.07</v>
      </c>
    </row>
    <row r="17" ht="14.25" customHeight="1">
      <c r="C17" s="1">
        <f t="shared" si="3"/>
        <v>24000</v>
      </c>
      <c r="D17" s="7">
        <v>1.0</v>
      </c>
      <c r="E17" s="5" t="s">
        <v>18</v>
      </c>
      <c r="F17" s="1">
        <f t="shared" si="1"/>
        <v>13816</v>
      </c>
      <c r="G17" s="1">
        <v>24000.0</v>
      </c>
      <c r="H17" s="6">
        <v>10184.0</v>
      </c>
      <c r="I17" s="6">
        <v>13930.17</v>
      </c>
      <c r="J17" s="1"/>
    </row>
    <row r="18" ht="14.25" customHeight="1">
      <c r="C18" s="1"/>
      <c r="E18" s="5" t="s">
        <v>19</v>
      </c>
      <c r="F18" s="1">
        <f t="shared" si="1"/>
        <v>0</v>
      </c>
      <c r="G18" s="1"/>
      <c r="H18" s="9"/>
      <c r="I18" s="6">
        <v>26552.18</v>
      </c>
      <c r="J18" s="1">
        <v>430.43</v>
      </c>
    </row>
    <row r="19" ht="14.25" customHeight="1">
      <c r="C19" s="1">
        <f t="shared" ref="C19:C22" si="4">G19</f>
        <v>13043.48</v>
      </c>
      <c r="D19" s="7">
        <v>1.0</v>
      </c>
      <c r="E19" s="5" t="s">
        <v>20</v>
      </c>
      <c r="F19" s="1">
        <f t="shared" si="1"/>
        <v>0</v>
      </c>
      <c r="G19" s="1">
        <f t="shared" ref="G19:G22" si="5">H19</f>
        <v>13043.48</v>
      </c>
      <c r="H19" s="9">
        <v>13043.48</v>
      </c>
      <c r="I19" s="6"/>
      <c r="J19" s="1">
        <v>368.42</v>
      </c>
    </row>
    <row r="20" ht="14.25" customHeight="1">
      <c r="C20" s="1">
        <f t="shared" si="4"/>
        <v>13043.48</v>
      </c>
      <c r="D20" s="7">
        <v>1.0</v>
      </c>
      <c r="E20" s="5" t="s">
        <v>21</v>
      </c>
      <c r="F20" s="1">
        <f t="shared" si="1"/>
        <v>0</v>
      </c>
      <c r="G20" s="1">
        <f t="shared" si="5"/>
        <v>13043.48</v>
      </c>
      <c r="H20" s="9">
        <v>13043.48</v>
      </c>
      <c r="I20" s="6">
        <v>32340.95</v>
      </c>
      <c r="J20" s="1">
        <v>7041.85</v>
      </c>
    </row>
    <row r="21" ht="14.25" customHeight="1">
      <c r="C21" s="1">
        <f t="shared" si="4"/>
        <v>15354.72</v>
      </c>
      <c r="D21" s="7">
        <v>1.0</v>
      </c>
      <c r="E21" s="5" t="s">
        <v>22</v>
      </c>
      <c r="F21" s="1">
        <f t="shared" si="1"/>
        <v>0</v>
      </c>
      <c r="G21" s="1">
        <f t="shared" si="5"/>
        <v>15354.72</v>
      </c>
      <c r="H21" s="6">
        <v>15354.72</v>
      </c>
      <c r="I21" s="6">
        <v>7945.75</v>
      </c>
      <c r="J21" s="1">
        <v>7524.03</v>
      </c>
    </row>
    <row r="22" ht="14.25" customHeight="1">
      <c r="C22" s="1" t="str">
        <f t="shared" si="4"/>
        <v>#REF!</v>
      </c>
      <c r="D22" s="7">
        <v>1.0</v>
      </c>
      <c r="E22" s="5" t="s">
        <v>23</v>
      </c>
      <c r="F22" s="1" t="str">
        <f t="shared" si="1"/>
        <v>#REF!</v>
      </c>
      <c r="G22" s="1" t="str">
        <f t="shared" si="5"/>
        <v>#REF!</v>
      </c>
      <c r="H22" s="6" t="str">
        <f>Sheet1!B346</f>
        <v>#REF!</v>
      </c>
      <c r="I22" s="6">
        <v>19248.0</v>
      </c>
      <c r="J22" s="1">
        <v>16597.97</v>
      </c>
    </row>
    <row r="23" ht="14.25" customHeight="1">
      <c r="C23" s="1"/>
      <c r="E23" s="5" t="s">
        <v>24</v>
      </c>
      <c r="F23" s="1">
        <f t="shared" si="1"/>
        <v>300000</v>
      </c>
      <c r="G23" s="1">
        <v>300000.0</v>
      </c>
      <c r="H23" s="9"/>
      <c r="I23" s="6">
        <v>778171.02</v>
      </c>
      <c r="J23" s="1">
        <v>1105670.24</v>
      </c>
    </row>
    <row r="24" ht="14.25" customHeight="1">
      <c r="C24" s="1">
        <f>G24</f>
        <v>110000</v>
      </c>
      <c r="D24" s="7">
        <v>1.0</v>
      </c>
      <c r="E24" s="5" t="s">
        <v>25</v>
      </c>
      <c r="F24" s="1">
        <f t="shared" si="1"/>
        <v>110000</v>
      </c>
      <c r="G24" s="1">
        <v>110000.0</v>
      </c>
      <c r="H24" s="9"/>
      <c r="I24" s="6">
        <v>39000.0</v>
      </c>
      <c r="J24" s="1">
        <v>112294.5</v>
      </c>
    </row>
    <row r="25" ht="14.25" customHeight="1">
      <c r="C25" s="1"/>
      <c r="E25" s="5" t="s">
        <v>26</v>
      </c>
      <c r="F25" s="1" t="str">
        <f t="shared" si="1"/>
        <v>#REF!</v>
      </c>
      <c r="G25" s="1" t="str">
        <f t="shared" ref="G25:G28" si="6">H25</f>
        <v>#REF!</v>
      </c>
      <c r="H25" s="6" t="str">
        <f>Sheet1!B354</f>
        <v>#REF!</v>
      </c>
      <c r="I25" s="6">
        <v>743.48</v>
      </c>
      <c r="J25" s="1"/>
    </row>
    <row r="26" ht="14.25" customHeight="1">
      <c r="C26" s="1"/>
      <c r="E26" s="5" t="s">
        <v>27</v>
      </c>
      <c r="F26" s="1">
        <f t="shared" si="1"/>
        <v>0</v>
      </c>
      <c r="G26" s="1" t="str">
        <f t="shared" si="6"/>
        <v/>
      </c>
      <c r="H26" s="9"/>
      <c r="I26" s="6"/>
      <c r="J26" s="1">
        <v>297.39</v>
      </c>
    </row>
    <row r="27" ht="14.25" customHeight="1">
      <c r="C27" s="1"/>
      <c r="E27" s="5" t="s">
        <v>28</v>
      </c>
      <c r="F27" s="1">
        <f t="shared" si="1"/>
        <v>0</v>
      </c>
      <c r="G27" s="1" t="str">
        <f t="shared" si="6"/>
        <v/>
      </c>
      <c r="H27" s="9"/>
      <c r="I27" s="6">
        <v>9000.0</v>
      </c>
      <c r="J27" s="1">
        <v>12000.0</v>
      </c>
    </row>
    <row r="28" ht="14.25" customHeight="1">
      <c r="C28" s="1"/>
      <c r="E28" s="5" t="s">
        <v>29</v>
      </c>
      <c r="F28" s="1">
        <f t="shared" si="1"/>
        <v>0</v>
      </c>
      <c r="G28" s="1" t="str">
        <f t="shared" si="6"/>
        <v/>
      </c>
      <c r="H28" s="9"/>
      <c r="I28" s="6"/>
      <c r="J28" s="1">
        <v>4538.63</v>
      </c>
    </row>
    <row r="29" ht="14.25" customHeight="1">
      <c r="C29" s="1"/>
      <c r="E29" s="5" t="s">
        <v>30</v>
      </c>
      <c r="F29" s="1">
        <f t="shared" si="1"/>
        <v>15178.03</v>
      </c>
      <c r="G29" s="1">
        <f>I29</f>
        <v>39008.03</v>
      </c>
      <c r="H29" s="6">
        <v>23830.0</v>
      </c>
      <c r="I29" s="6">
        <v>39008.03</v>
      </c>
      <c r="J29" s="1">
        <v>41340.7</v>
      </c>
      <c r="M29" s="10" t="s">
        <v>31</v>
      </c>
    </row>
    <row r="30" ht="14.25" customHeight="1">
      <c r="C30" s="1"/>
      <c r="E30" s="5" t="s">
        <v>32</v>
      </c>
      <c r="F30" s="1" t="str">
        <f t="shared" si="1"/>
        <v>#REF!</v>
      </c>
      <c r="G30" s="1" t="str">
        <f>H30</f>
        <v>#REF!</v>
      </c>
      <c r="H30" s="6" t="str">
        <f>Sheet1!B376</f>
        <v>#REF!</v>
      </c>
      <c r="I30" s="6">
        <v>10200.0</v>
      </c>
      <c r="J30" s="1"/>
      <c r="K30" s="11" t="str">
        <f>SUM(H31:H37)</f>
        <v>#REF!</v>
      </c>
      <c r="L30" s="12" t="s">
        <v>33</v>
      </c>
      <c r="M30" s="13" t="str">
        <f>K30*1.5</f>
        <v>#REF!</v>
      </c>
      <c r="N30" s="14" t="s">
        <v>34</v>
      </c>
    </row>
    <row r="31" ht="14.25" customHeight="1">
      <c r="C31" s="1">
        <f t="shared" ref="C31:C37" si="7">G31</f>
        <v>100000</v>
      </c>
      <c r="D31" s="7">
        <v>1.0</v>
      </c>
      <c r="E31" s="15" t="s">
        <v>35</v>
      </c>
      <c r="F31" s="1">
        <f t="shared" si="1"/>
        <v>19793</v>
      </c>
      <c r="G31" s="1">
        <v>100000.0</v>
      </c>
      <c r="H31" s="6">
        <v>80207.0</v>
      </c>
      <c r="I31" s="6">
        <v>147324.36</v>
      </c>
      <c r="J31" s="1">
        <v>49944.56</v>
      </c>
      <c r="K31" s="11">
        <f>SUM(I31:I37)</f>
        <v>2820748.99</v>
      </c>
      <c r="L31" s="12" t="s">
        <v>36</v>
      </c>
    </row>
    <row r="32" ht="14.25" customHeight="1">
      <c r="C32" s="1">
        <f t="shared" si="7"/>
        <v>700000</v>
      </c>
      <c r="D32" s="7">
        <v>1.0</v>
      </c>
      <c r="E32" s="15" t="s">
        <v>37</v>
      </c>
      <c r="F32" s="1">
        <f t="shared" si="1"/>
        <v>150666.04</v>
      </c>
      <c r="G32" s="1">
        <v>700000.0</v>
      </c>
      <c r="H32" s="6">
        <v>549333.96</v>
      </c>
      <c r="I32" s="6">
        <v>1874669.33</v>
      </c>
      <c r="J32" s="1">
        <v>1251680.13</v>
      </c>
      <c r="K32" s="11">
        <f>SUM(J31:J37)</f>
        <v>1721624.65</v>
      </c>
      <c r="L32" s="12" t="s">
        <v>38</v>
      </c>
      <c r="M32" s="7">
        <f>1313687.94/200000</f>
        <v>6.5684397</v>
      </c>
    </row>
    <row r="33" ht="14.25" customHeight="1">
      <c r="C33" s="1" t="str">
        <f t="shared" si="7"/>
        <v>#REF!</v>
      </c>
      <c r="D33" s="7">
        <v>1.0</v>
      </c>
      <c r="E33" s="15" t="s">
        <v>39</v>
      </c>
      <c r="F33" s="1" t="str">
        <f t="shared" si="1"/>
        <v>#REF!</v>
      </c>
      <c r="G33" s="1" t="str">
        <f>0.015*M30</f>
        <v>#REF!</v>
      </c>
      <c r="H33" s="6" t="str">
        <f>Sheet1!B505</f>
        <v>#REF!</v>
      </c>
      <c r="I33" s="6">
        <v>14582.0</v>
      </c>
      <c r="J33" s="1">
        <v>28119.56</v>
      </c>
    </row>
    <row r="34" ht="14.25" customHeight="1">
      <c r="C34" s="1">
        <f t="shared" si="7"/>
        <v>450000</v>
      </c>
      <c r="D34" s="7">
        <v>1.0</v>
      </c>
      <c r="E34" s="15" t="s">
        <v>40</v>
      </c>
      <c r="F34" s="1">
        <f t="shared" si="1"/>
        <v>53345.77</v>
      </c>
      <c r="G34" s="1">
        <v>450000.0</v>
      </c>
      <c r="H34" s="6">
        <v>396654.23</v>
      </c>
      <c r="I34" s="6">
        <v>718768.19</v>
      </c>
      <c r="J34" s="1">
        <v>362884.46</v>
      </c>
      <c r="K34" s="1">
        <f>K32*0.015</f>
        <v>25824.36975</v>
      </c>
    </row>
    <row r="35" ht="14.25" customHeight="1">
      <c r="C35" s="1">
        <f t="shared" si="7"/>
        <v>20000</v>
      </c>
      <c r="D35" s="7">
        <v>1.0</v>
      </c>
      <c r="E35" s="15" t="s">
        <v>41</v>
      </c>
      <c r="F35" s="1">
        <f t="shared" si="1"/>
        <v>4066.77</v>
      </c>
      <c r="G35" s="1">
        <v>20000.0</v>
      </c>
      <c r="H35" s="6">
        <v>15933.23</v>
      </c>
      <c r="I35" s="6">
        <v>47459.5</v>
      </c>
      <c r="J35" s="1">
        <v>23395.94</v>
      </c>
    </row>
    <row r="36" ht="14.25" customHeight="1">
      <c r="C36" s="1">
        <f t="shared" si="7"/>
        <v>102691.92</v>
      </c>
      <c r="D36" s="7">
        <v>1.0</v>
      </c>
      <c r="E36" s="16" t="s">
        <v>42</v>
      </c>
      <c r="F36" s="1">
        <f t="shared" si="1"/>
        <v>10000</v>
      </c>
      <c r="G36" s="1">
        <f>H36+10000</f>
        <v>102691.92</v>
      </c>
      <c r="H36" s="6">
        <v>92691.92</v>
      </c>
      <c r="I36" s="6">
        <v>17945.61</v>
      </c>
      <c r="J36" s="1">
        <v>5600.0</v>
      </c>
      <c r="K36" s="1" t="str">
        <f>SUM(G31:G37)</f>
        <v>#REF!</v>
      </c>
      <c r="M36" s="1"/>
    </row>
    <row r="37" ht="14.25" customHeight="1">
      <c r="C37" s="1" t="str">
        <f t="shared" si="7"/>
        <v/>
      </c>
      <c r="D37" s="7">
        <v>1.0</v>
      </c>
      <c r="E37" s="15" t="s">
        <v>43</v>
      </c>
      <c r="F37" s="1" t="str">
        <f t="shared" si="1"/>
        <v>#REF!</v>
      </c>
      <c r="G37" s="17"/>
      <c r="H37" s="6" t="str">
        <f>Sheet1!B566</f>
        <v>#REF!</v>
      </c>
      <c r="I37" s="6"/>
      <c r="J37" s="1"/>
    </row>
    <row r="38" ht="14.25" customHeight="1">
      <c r="C38" s="1"/>
      <c r="E38" s="16" t="s">
        <v>44</v>
      </c>
      <c r="F38" s="1" t="str">
        <f t="shared" si="1"/>
        <v>#REF!</v>
      </c>
      <c r="G38" s="1">
        <v>4000.0</v>
      </c>
      <c r="H38" s="6" t="str">
        <f>Sheet1!B585</f>
        <v>#REF!</v>
      </c>
      <c r="I38" s="6">
        <v>2466.44</v>
      </c>
      <c r="J38" s="1">
        <v>31195.13</v>
      </c>
      <c r="K38" s="1" t="str">
        <f>K36-K30</f>
        <v>#REF!</v>
      </c>
    </row>
    <row r="39" ht="14.25" customHeight="1">
      <c r="C39" s="1">
        <f>G39</f>
        <v>16000</v>
      </c>
      <c r="D39" s="7">
        <v>1.0</v>
      </c>
      <c r="E39" s="5" t="s">
        <v>45</v>
      </c>
      <c r="F39" s="1">
        <f t="shared" si="1"/>
        <v>-3023.99</v>
      </c>
      <c r="G39" s="1">
        <v>16000.0</v>
      </c>
      <c r="H39" s="6">
        <v>19023.99</v>
      </c>
      <c r="I39" s="6">
        <v>20059.27</v>
      </c>
      <c r="J39" s="1">
        <v>4006.57</v>
      </c>
    </row>
    <row r="40" ht="14.25" customHeight="1">
      <c r="C40" s="1"/>
      <c r="E40" s="5" t="s">
        <v>46</v>
      </c>
      <c r="F40" s="1">
        <f t="shared" si="1"/>
        <v>4000</v>
      </c>
      <c r="G40" s="1">
        <f>H40+4000</f>
        <v>165397.1</v>
      </c>
      <c r="H40" s="9">
        <v>161397.1</v>
      </c>
      <c r="I40" s="6">
        <v>79496.69</v>
      </c>
      <c r="J40" s="1">
        <v>28508.16</v>
      </c>
    </row>
    <row r="41" ht="14.25" customHeight="1">
      <c r="C41" s="1"/>
      <c r="E41" s="5" t="s">
        <v>47</v>
      </c>
      <c r="F41" s="1">
        <f t="shared" si="1"/>
        <v>0</v>
      </c>
      <c r="G41" s="1" t="str">
        <f>H41</f>
        <v/>
      </c>
      <c r="H41" s="9"/>
      <c r="I41" s="6">
        <v>463250.86</v>
      </c>
      <c r="J41" s="1">
        <v>-126537.2</v>
      </c>
    </row>
    <row r="42" ht="14.25" customHeight="1">
      <c r="C42" s="1"/>
      <c r="E42" s="5" t="s">
        <v>48</v>
      </c>
      <c r="F42" s="1">
        <f t="shared" si="1"/>
        <v>10000</v>
      </c>
      <c r="G42" s="1">
        <v>10000.0</v>
      </c>
      <c r="H42" s="9"/>
      <c r="I42" s="6">
        <v>504906.93</v>
      </c>
      <c r="J42" s="1"/>
    </row>
    <row r="43" ht="14.25" customHeight="1">
      <c r="C43" s="1"/>
      <c r="E43" s="5" t="s">
        <v>49</v>
      </c>
      <c r="F43" s="1">
        <f t="shared" si="1"/>
        <v>10000</v>
      </c>
      <c r="G43" s="1">
        <v>10000.0</v>
      </c>
      <c r="H43" s="9"/>
      <c r="I43" s="6">
        <v>9385.6</v>
      </c>
      <c r="J43" s="1">
        <v>8888.35</v>
      </c>
    </row>
    <row r="44" ht="14.25" customHeight="1">
      <c r="C44" s="1">
        <f>G44</f>
        <v>184403.61</v>
      </c>
      <c r="D44" s="7">
        <v>1.0</v>
      </c>
      <c r="E44" s="5" t="s">
        <v>50</v>
      </c>
      <c r="F44" s="1">
        <f t="shared" si="1"/>
        <v>33878.08</v>
      </c>
      <c r="G44" s="1">
        <f>I44</f>
        <v>184403.61</v>
      </c>
      <c r="H44" s="6">
        <v>150525.53</v>
      </c>
      <c r="I44" s="6">
        <v>184403.61</v>
      </c>
      <c r="J44" s="1">
        <v>160923.73</v>
      </c>
    </row>
    <row r="45" ht="14.25" customHeight="1">
      <c r="E45" s="5" t="s">
        <v>51</v>
      </c>
      <c r="F45" s="1" t="str">
        <f t="shared" si="1"/>
        <v>#REF!</v>
      </c>
      <c r="G45" s="1" t="str">
        <f>H45+20000</f>
        <v>#REF!</v>
      </c>
      <c r="H45" s="6" t="str">
        <f>Sheet1!B646</f>
        <v>#REF!</v>
      </c>
      <c r="I45" s="6">
        <v>35990.21</v>
      </c>
      <c r="J45" s="1">
        <v>263625.93</v>
      </c>
    </row>
    <row r="46" ht="14.25" customHeight="1">
      <c r="E46" s="18" t="s">
        <v>52</v>
      </c>
      <c r="F46" s="1" t="str">
        <f t="shared" si="1"/>
        <v>#REF!</v>
      </c>
      <c r="G46" s="19" t="str">
        <f>H46+50000</f>
        <v>#REF!</v>
      </c>
      <c r="H46" s="20" t="str">
        <f>Sheet1!B651</f>
        <v>#REF!</v>
      </c>
      <c r="I46" s="20">
        <v>2220.96</v>
      </c>
      <c r="J46" s="21">
        <v>221688.05</v>
      </c>
    </row>
    <row r="47" ht="14.25" customHeight="1">
      <c r="C47" s="1" t="str">
        <f>SUM(C5:C46)</f>
        <v>#REF!</v>
      </c>
      <c r="E47" s="22" t="s">
        <v>53</v>
      </c>
      <c r="F47" s="23" t="str">
        <f t="shared" ref="F47:J47" si="8">SUM(F5:F46)</f>
        <v>#REF!</v>
      </c>
      <c r="G47" s="23" t="str">
        <f t="shared" si="8"/>
        <v>#REF!</v>
      </c>
      <c r="H47" s="23" t="str">
        <f t="shared" si="8"/>
        <v>#REF!</v>
      </c>
      <c r="I47" s="23">
        <f t="shared" si="8"/>
        <v>7339545.97</v>
      </c>
      <c r="J47" s="24">
        <f t="shared" si="8"/>
        <v>6192560.63</v>
      </c>
    </row>
    <row r="48" ht="14.25" customHeight="1">
      <c r="H48" s="1"/>
      <c r="I48" s="1"/>
      <c r="J48" s="1"/>
    </row>
    <row r="49" ht="14.25" customHeight="1">
      <c r="E49" s="2" t="s">
        <v>54</v>
      </c>
      <c r="F49" s="22"/>
      <c r="G49" s="22"/>
      <c r="I49" s="1"/>
      <c r="J49" s="1"/>
    </row>
    <row r="50" ht="14.25" customHeight="1">
      <c r="E50" s="5" t="s">
        <v>55</v>
      </c>
      <c r="F50" s="1">
        <f t="shared" ref="F50:F51" si="9">G50-H50</f>
        <v>-2580000</v>
      </c>
      <c r="G50" s="1">
        <f>H50-80000-2500000</f>
        <v>5782455.86</v>
      </c>
      <c r="H50" s="1">
        <v>8362455.86</v>
      </c>
      <c r="I50" s="1">
        <v>-1.296951783E7</v>
      </c>
      <c r="J50" s="1">
        <v>-1.85262289E7</v>
      </c>
    </row>
    <row r="51" ht="14.25" customHeight="1">
      <c r="E51" s="5" t="s">
        <v>56</v>
      </c>
      <c r="F51" s="1">
        <f t="shared" si="9"/>
        <v>0</v>
      </c>
      <c r="G51" s="1">
        <f t="shared" ref="G51:G53" si="10">H51</f>
        <v>314869.76</v>
      </c>
      <c r="H51" s="1">
        <v>314869.76</v>
      </c>
      <c r="I51" s="1">
        <v>-130909.65</v>
      </c>
      <c r="J51" s="1">
        <v>-210879.25</v>
      </c>
    </row>
    <row r="52" ht="14.25" customHeight="1">
      <c r="E52" s="5" t="s">
        <v>57</v>
      </c>
      <c r="F52" s="1"/>
      <c r="G52" s="1">
        <f t="shared" si="10"/>
        <v>869417.2</v>
      </c>
      <c r="H52" s="1">
        <f>869417.2</f>
        <v>869417.2</v>
      </c>
      <c r="I52" s="1">
        <v>-753387.0</v>
      </c>
      <c r="J52" s="1">
        <v>-800800.0</v>
      </c>
    </row>
    <row r="53" ht="14.25" customHeight="1">
      <c r="E53" s="5" t="s">
        <v>58</v>
      </c>
      <c r="F53" s="1">
        <f t="shared" ref="F53:F56" si="11">G53-H53</f>
        <v>0</v>
      </c>
      <c r="G53" s="1" t="str">
        <f t="shared" si="10"/>
        <v/>
      </c>
      <c r="H53" s="1"/>
      <c r="I53" s="1">
        <v>-92102.2</v>
      </c>
      <c r="J53" s="1">
        <v>5497615.28</v>
      </c>
    </row>
    <row r="54" ht="14.25" customHeight="1">
      <c r="E54" s="5" t="s">
        <v>59</v>
      </c>
      <c r="F54" s="1">
        <f t="shared" si="11"/>
        <v>-10000</v>
      </c>
      <c r="G54" s="1">
        <f>-10000</f>
        <v>-10000</v>
      </c>
      <c r="H54" s="1"/>
      <c r="I54" s="1">
        <v>-38631.25</v>
      </c>
      <c r="J54" s="1"/>
    </row>
    <row r="55" ht="14.25" customHeight="1">
      <c r="E55" s="5" t="s">
        <v>60</v>
      </c>
      <c r="F55" s="1">
        <f t="shared" si="11"/>
        <v>0</v>
      </c>
      <c r="G55" s="5"/>
      <c r="H55" s="1"/>
      <c r="I55" s="1"/>
      <c r="J55" s="1">
        <v>-4299.23</v>
      </c>
    </row>
    <row r="56" ht="14.25" customHeight="1">
      <c r="E56" s="5" t="s">
        <v>61</v>
      </c>
      <c r="F56" s="1">
        <f t="shared" si="11"/>
        <v>0</v>
      </c>
      <c r="G56" s="5"/>
      <c r="H56" s="1"/>
      <c r="I56" s="1"/>
      <c r="J56" s="1">
        <v>-205000.0</v>
      </c>
    </row>
    <row r="57" ht="14.25" customHeight="1">
      <c r="E57" s="18" t="s">
        <v>62</v>
      </c>
      <c r="F57" s="18"/>
      <c r="G57" s="19" t="str">
        <f>H57</f>
        <v>#REF!</v>
      </c>
      <c r="H57" s="19" t="str">
        <f>Sheet1!B75</f>
        <v>#REF!</v>
      </c>
      <c r="I57" s="19">
        <v>0.0</v>
      </c>
      <c r="J57" s="19">
        <v>-5956.52</v>
      </c>
    </row>
    <row r="58" ht="14.25" customHeight="1">
      <c r="E58" s="22" t="s">
        <v>63</v>
      </c>
      <c r="F58" s="24">
        <f t="shared" ref="F58:J58" si="12">SUM(F50:F57)</f>
        <v>-2590000</v>
      </c>
      <c r="G58" s="24" t="str">
        <f t="shared" si="12"/>
        <v>#REF!</v>
      </c>
      <c r="H58" s="24" t="str">
        <f t="shared" si="12"/>
        <v>#REF!</v>
      </c>
      <c r="I58" s="24">
        <f t="shared" si="12"/>
        <v>-13984547.93</v>
      </c>
      <c r="J58" s="24">
        <f t="shared" si="12"/>
        <v>-14255548.62</v>
      </c>
    </row>
    <row r="59" ht="14.25" customHeight="1">
      <c r="H59" s="1"/>
      <c r="I59" s="1"/>
      <c r="J59" s="1"/>
    </row>
    <row r="60" ht="14.25" customHeight="1">
      <c r="F60" s="1" t="str">
        <f t="shared" ref="F60:J60" si="13">F58/F47</f>
        <v>#REF!</v>
      </c>
      <c r="G60" s="1" t="str">
        <f t="shared" si="13"/>
        <v>#REF!</v>
      </c>
      <c r="H60" s="1" t="str">
        <f t="shared" si="13"/>
        <v>#REF!</v>
      </c>
      <c r="I60" s="1">
        <f t="shared" si="13"/>
        <v>-1.905369622</v>
      </c>
      <c r="J60" s="1">
        <f t="shared" si="13"/>
        <v>-2.302044255</v>
      </c>
    </row>
    <row r="61" ht="14.25" customHeight="1">
      <c r="H61" s="1"/>
      <c r="I61" s="1"/>
      <c r="J61" s="1"/>
    </row>
    <row r="62" ht="14.25" customHeight="1">
      <c r="H62" s="1"/>
      <c r="I62" s="1"/>
      <c r="J62" s="1"/>
    </row>
    <row r="63" ht="14.25" customHeight="1">
      <c r="H63" s="1"/>
      <c r="I63" s="1"/>
      <c r="J63" s="1"/>
    </row>
    <row r="64" ht="14.25" customHeight="1">
      <c r="H64" s="1"/>
      <c r="I64" s="1"/>
      <c r="J64" s="1"/>
    </row>
    <row r="65" ht="14.25" customHeight="1">
      <c r="G65" s="7">
        <f>200000*15</f>
        <v>3000000</v>
      </c>
      <c r="H65" s="1"/>
      <c r="I65" s="1"/>
      <c r="J65" s="1"/>
    </row>
    <row r="66" ht="14.25" customHeight="1">
      <c r="H66" s="1"/>
      <c r="I66" s="1"/>
      <c r="J66" s="1"/>
    </row>
    <row r="67" ht="14.25" customHeight="1">
      <c r="H67" s="1">
        <f>-200000*9</f>
        <v>-1800000</v>
      </c>
      <c r="I67" s="1"/>
      <c r="J67" s="1"/>
    </row>
    <row r="68" ht="14.25" customHeight="1">
      <c r="H68" s="1" t="str">
        <f>SUM(H51:H57)</f>
        <v>#REF!</v>
      </c>
      <c r="I68" s="1"/>
      <c r="J68" s="1"/>
    </row>
    <row r="69" ht="14.25" customHeight="1">
      <c r="H69" s="25" t="str">
        <f>H68+H67</f>
        <v>#REF!</v>
      </c>
      <c r="I69" s="1"/>
      <c r="J69" s="1"/>
    </row>
    <row r="70" ht="14.25" customHeight="1">
      <c r="H70" s="1"/>
      <c r="I70" s="1"/>
      <c r="J70" s="1"/>
    </row>
    <row r="71" ht="14.25" customHeight="1">
      <c r="H71" s="1"/>
      <c r="I71" s="1"/>
      <c r="J71" s="1"/>
    </row>
    <row r="72" ht="14.25" customHeight="1">
      <c r="H72" s="1"/>
      <c r="I72" s="1"/>
      <c r="J72" s="1"/>
    </row>
    <row r="73" ht="14.25" customHeight="1">
      <c r="H73" s="1"/>
      <c r="I73" s="1"/>
      <c r="J73" s="1"/>
    </row>
    <row r="74" ht="14.25" customHeight="1">
      <c r="H74" s="1"/>
      <c r="I74" s="1"/>
      <c r="J74" s="1"/>
    </row>
    <row r="75" ht="14.25" customHeight="1">
      <c r="H75" s="1"/>
      <c r="I75" s="1"/>
      <c r="J75" s="1"/>
    </row>
    <row r="76" ht="14.25" customHeight="1">
      <c r="H76" s="1"/>
      <c r="I76" s="1"/>
      <c r="J76" s="1"/>
    </row>
    <row r="77" ht="14.25" customHeight="1">
      <c r="H77" s="1"/>
      <c r="I77" s="1"/>
      <c r="J77" s="1"/>
    </row>
    <row r="78" ht="14.25" customHeight="1">
      <c r="H78" s="1"/>
      <c r="I78" s="1"/>
      <c r="J78" s="1"/>
    </row>
    <row r="79" ht="14.25" customHeight="1">
      <c r="H79" s="1"/>
      <c r="I79" s="1"/>
      <c r="J79" s="1"/>
    </row>
    <row r="80" ht="14.25" customHeight="1">
      <c r="H80" s="1"/>
      <c r="I80" s="1"/>
      <c r="J80" s="1"/>
    </row>
    <row r="81" ht="14.25" customHeight="1">
      <c r="H81" s="1"/>
      <c r="I81" s="1"/>
      <c r="J81" s="1"/>
    </row>
    <row r="82" ht="14.25" customHeight="1">
      <c r="H82" s="1"/>
      <c r="I82" s="1"/>
      <c r="J82" s="1"/>
    </row>
    <row r="83" ht="14.25" customHeight="1">
      <c r="H83" s="1"/>
      <c r="I83" s="1"/>
      <c r="J83" s="1"/>
    </row>
    <row r="84" ht="14.25" customHeight="1">
      <c r="H84" s="1"/>
      <c r="I84" s="1"/>
      <c r="J84" s="1"/>
    </row>
    <row r="85" ht="14.25" customHeight="1">
      <c r="H85" s="1"/>
      <c r="I85" s="1"/>
      <c r="J85" s="1"/>
    </row>
    <row r="86" ht="14.25" customHeight="1">
      <c r="H86" s="1"/>
      <c r="I86" s="1"/>
      <c r="J86" s="1"/>
    </row>
    <row r="87" ht="14.25" customHeight="1">
      <c r="H87" s="1"/>
      <c r="I87" s="1"/>
      <c r="J87" s="1"/>
    </row>
    <row r="88" ht="14.25" customHeight="1">
      <c r="H88" s="1"/>
      <c r="I88" s="1"/>
      <c r="J88" s="1"/>
    </row>
    <row r="89" ht="14.25" customHeight="1">
      <c r="H89" s="1"/>
      <c r="I89" s="1"/>
      <c r="J89" s="1"/>
    </row>
    <row r="90" ht="14.25" customHeight="1">
      <c r="H90" s="1"/>
      <c r="I90" s="1"/>
      <c r="J90" s="1"/>
    </row>
    <row r="91" ht="14.25" customHeight="1">
      <c r="H91" s="1"/>
      <c r="I91" s="1"/>
      <c r="J91" s="1"/>
    </row>
    <row r="92" ht="14.25" customHeight="1">
      <c r="H92" s="1"/>
      <c r="I92" s="1"/>
      <c r="J92" s="1"/>
    </row>
    <row r="93" ht="14.25" customHeight="1">
      <c r="H93" s="1"/>
      <c r="I93" s="1"/>
      <c r="J93" s="1"/>
    </row>
    <row r="94" ht="14.25" customHeight="1">
      <c r="H94" s="1"/>
      <c r="I94" s="1"/>
      <c r="J94" s="1"/>
    </row>
    <row r="95" ht="14.25" customHeight="1">
      <c r="H95" s="1"/>
      <c r="I95" s="1"/>
      <c r="J95" s="1"/>
    </row>
    <row r="96" ht="14.25" customHeight="1">
      <c r="H96" s="1"/>
      <c r="I96" s="1"/>
      <c r="J96" s="1"/>
    </row>
    <row r="97" ht="14.25" customHeight="1">
      <c r="H97" s="1"/>
      <c r="I97" s="1"/>
      <c r="J97" s="1"/>
    </row>
    <row r="98" ht="14.25" customHeight="1">
      <c r="H98" s="1"/>
      <c r="I98" s="1"/>
      <c r="J98" s="1"/>
    </row>
    <row r="99" ht="14.25" customHeight="1">
      <c r="H99" s="1"/>
      <c r="I99" s="1"/>
      <c r="J99" s="1"/>
    </row>
    <row r="100" ht="14.25" customHeight="1">
      <c r="H100" s="1"/>
      <c r="I100" s="1"/>
      <c r="J100" s="1"/>
    </row>
    <row r="101" ht="14.25" customHeight="1">
      <c r="H101" s="1"/>
      <c r="I101" s="1"/>
      <c r="J101" s="1"/>
    </row>
    <row r="102" ht="14.25" customHeight="1">
      <c r="H102" s="1"/>
      <c r="I102" s="1"/>
      <c r="J102" s="1"/>
    </row>
    <row r="103" ht="14.25" customHeight="1">
      <c r="H103" s="1"/>
      <c r="I103" s="1"/>
      <c r="J103" s="1"/>
    </row>
    <row r="104" ht="14.25" customHeight="1">
      <c r="H104" s="1"/>
      <c r="I104" s="1"/>
      <c r="J104" s="1"/>
    </row>
    <row r="105" ht="14.25" customHeight="1">
      <c r="H105" s="1"/>
      <c r="I105" s="1"/>
      <c r="J105" s="1"/>
    </row>
    <row r="106" ht="14.25" customHeight="1">
      <c r="H106" s="1"/>
      <c r="I106" s="1"/>
      <c r="J106" s="1"/>
    </row>
    <row r="107" ht="14.25" customHeight="1">
      <c r="H107" s="1"/>
      <c r="I107" s="1"/>
      <c r="J107" s="1"/>
    </row>
    <row r="108" ht="14.25" customHeight="1">
      <c r="H108" s="1"/>
      <c r="I108" s="1"/>
      <c r="J108" s="1"/>
    </row>
    <row r="109" ht="14.25" customHeight="1">
      <c r="H109" s="1"/>
      <c r="I109" s="1"/>
      <c r="J109" s="1"/>
    </row>
    <row r="110" ht="14.25" customHeight="1">
      <c r="H110" s="1"/>
      <c r="I110" s="1"/>
      <c r="J110" s="1"/>
    </row>
    <row r="111" ht="14.25" customHeight="1">
      <c r="H111" s="1"/>
      <c r="I111" s="1"/>
      <c r="J111" s="1"/>
    </row>
    <row r="112" ht="14.25" customHeight="1">
      <c r="H112" s="1"/>
      <c r="I112" s="1"/>
      <c r="J112" s="1"/>
    </row>
    <row r="113" ht="14.25" customHeight="1">
      <c r="H113" s="1"/>
      <c r="I113" s="1"/>
      <c r="J113" s="1"/>
    </row>
    <row r="114" ht="14.25" customHeight="1">
      <c r="H114" s="1"/>
      <c r="I114" s="1"/>
      <c r="J114" s="1"/>
    </row>
    <row r="115" ht="14.25" customHeight="1">
      <c r="H115" s="1"/>
      <c r="I115" s="1"/>
      <c r="J115" s="1"/>
    </row>
    <row r="116" ht="14.25" customHeight="1">
      <c r="H116" s="1"/>
      <c r="I116" s="1"/>
      <c r="J116" s="1"/>
    </row>
    <row r="117" ht="14.25" customHeight="1">
      <c r="H117" s="1"/>
      <c r="I117" s="1"/>
      <c r="J117" s="1"/>
    </row>
    <row r="118" ht="14.25" customHeight="1">
      <c r="H118" s="1"/>
      <c r="I118" s="1"/>
      <c r="J118" s="1"/>
    </row>
    <row r="119" ht="14.25" customHeight="1">
      <c r="H119" s="1"/>
      <c r="I119" s="1"/>
      <c r="J119" s="1"/>
    </row>
    <row r="120" ht="14.25" customHeight="1">
      <c r="H120" s="1"/>
      <c r="I120" s="1"/>
      <c r="J120" s="1"/>
    </row>
    <row r="121" ht="14.25" customHeight="1">
      <c r="H121" s="1"/>
      <c r="I121" s="1"/>
      <c r="J121" s="1"/>
    </row>
    <row r="122" ht="14.25" customHeight="1">
      <c r="H122" s="1"/>
      <c r="I122" s="1"/>
      <c r="J122" s="1"/>
    </row>
    <row r="123" ht="14.25" customHeight="1">
      <c r="H123" s="1"/>
      <c r="I123" s="1"/>
      <c r="J123" s="1"/>
    </row>
    <row r="124" ht="14.25" customHeight="1">
      <c r="H124" s="1"/>
      <c r="I124" s="1"/>
      <c r="J124" s="1"/>
    </row>
    <row r="125" ht="14.25" customHeight="1">
      <c r="H125" s="1"/>
      <c r="I125" s="1"/>
      <c r="J125" s="1"/>
    </row>
    <row r="126" ht="14.25" customHeight="1">
      <c r="H126" s="1"/>
      <c r="I126" s="1"/>
      <c r="J126" s="1"/>
    </row>
    <row r="127" ht="14.25" customHeight="1">
      <c r="H127" s="1"/>
      <c r="I127" s="1"/>
      <c r="J127" s="1"/>
    </row>
    <row r="128" ht="14.25" customHeight="1">
      <c r="H128" s="1"/>
      <c r="I128" s="1"/>
      <c r="J128" s="1"/>
    </row>
    <row r="129" ht="14.25" customHeight="1">
      <c r="H129" s="1"/>
      <c r="I129" s="1"/>
      <c r="J129" s="1"/>
    </row>
    <row r="130" ht="14.25" customHeight="1">
      <c r="H130" s="1"/>
      <c r="I130" s="1"/>
      <c r="J130" s="1"/>
    </row>
    <row r="131" ht="14.25" customHeight="1">
      <c r="H131" s="1"/>
      <c r="I131" s="1"/>
      <c r="J131" s="1"/>
    </row>
    <row r="132" ht="14.25" customHeight="1">
      <c r="H132" s="1"/>
      <c r="I132" s="1"/>
      <c r="J132" s="1"/>
    </row>
    <row r="133" ht="14.25" customHeight="1">
      <c r="H133" s="1"/>
      <c r="I133" s="1"/>
      <c r="J133" s="1"/>
    </row>
    <row r="134" ht="14.25" customHeight="1">
      <c r="H134" s="1"/>
      <c r="I134" s="1"/>
      <c r="J134" s="1"/>
    </row>
    <row r="135" ht="14.25" customHeight="1">
      <c r="H135" s="1"/>
      <c r="I135" s="1"/>
      <c r="J135" s="1"/>
    </row>
    <row r="136" ht="14.25" customHeight="1">
      <c r="H136" s="1"/>
      <c r="I136" s="1"/>
      <c r="J136" s="1"/>
    </row>
    <row r="137" ht="14.25" customHeight="1">
      <c r="H137" s="1"/>
      <c r="I137" s="1"/>
      <c r="J137" s="1"/>
    </row>
    <row r="138" ht="14.25" customHeight="1">
      <c r="H138" s="1"/>
      <c r="I138" s="1"/>
      <c r="J138" s="1"/>
    </row>
    <row r="139" ht="14.25" customHeight="1">
      <c r="H139" s="1"/>
      <c r="I139" s="1"/>
      <c r="J139" s="1"/>
    </row>
    <row r="140" ht="14.25" customHeight="1">
      <c r="H140" s="1"/>
      <c r="I140" s="1"/>
      <c r="J140" s="1"/>
    </row>
    <row r="141" ht="14.25" customHeight="1">
      <c r="H141" s="1"/>
      <c r="I141" s="1"/>
      <c r="J141" s="1"/>
    </row>
    <row r="142" ht="14.25" customHeight="1">
      <c r="H142" s="1"/>
      <c r="I142" s="1"/>
      <c r="J142" s="1"/>
    </row>
    <row r="143" ht="14.25" customHeight="1">
      <c r="H143" s="1"/>
      <c r="I143" s="1"/>
      <c r="J143" s="1"/>
    </row>
    <row r="144" ht="14.25" customHeight="1">
      <c r="H144" s="1"/>
      <c r="I144" s="1"/>
      <c r="J144" s="1"/>
    </row>
    <row r="145" ht="14.25" customHeight="1">
      <c r="H145" s="1"/>
      <c r="I145" s="1"/>
      <c r="J145" s="1"/>
    </row>
    <row r="146" ht="14.25" customHeight="1">
      <c r="H146" s="1"/>
      <c r="I146" s="1"/>
      <c r="J146" s="1"/>
    </row>
    <row r="147" ht="14.25" customHeight="1">
      <c r="H147" s="1"/>
      <c r="I147" s="1"/>
      <c r="J147" s="1"/>
    </row>
    <row r="148" ht="14.25" customHeight="1">
      <c r="H148" s="1"/>
      <c r="I148" s="1"/>
      <c r="J148" s="1"/>
    </row>
    <row r="149" ht="14.25" customHeight="1">
      <c r="H149" s="1"/>
      <c r="I149" s="1"/>
      <c r="J149" s="1"/>
    </row>
    <row r="150" ht="14.25" customHeight="1">
      <c r="H150" s="1"/>
      <c r="I150" s="1"/>
      <c r="J150" s="1"/>
    </row>
    <row r="151" ht="14.25" customHeight="1">
      <c r="H151" s="1"/>
      <c r="I151" s="1"/>
      <c r="J151" s="1"/>
    </row>
    <row r="152" ht="14.25" customHeight="1">
      <c r="H152" s="1"/>
      <c r="I152" s="1"/>
      <c r="J152" s="1"/>
    </row>
    <row r="153" ht="14.25" customHeight="1">
      <c r="H153" s="1"/>
      <c r="I153" s="1"/>
      <c r="J153" s="1"/>
    </row>
    <row r="154" ht="14.25" customHeight="1">
      <c r="H154" s="1"/>
      <c r="I154" s="1"/>
      <c r="J154" s="1"/>
    </row>
    <row r="155" ht="14.25" customHeight="1">
      <c r="H155" s="1"/>
      <c r="I155" s="1"/>
      <c r="J155" s="1"/>
    </row>
    <row r="156" ht="14.25" customHeight="1">
      <c r="H156" s="1"/>
      <c r="I156" s="1"/>
      <c r="J156" s="1"/>
    </row>
    <row r="157" ht="14.25" customHeight="1">
      <c r="H157" s="1"/>
      <c r="I157" s="1"/>
      <c r="J157" s="1"/>
    </row>
    <row r="158" ht="14.25" customHeight="1">
      <c r="H158" s="1"/>
      <c r="I158" s="1"/>
      <c r="J158" s="1"/>
    </row>
    <row r="159" ht="14.25" customHeight="1">
      <c r="H159" s="1"/>
      <c r="I159" s="1"/>
      <c r="J159" s="1"/>
    </row>
    <row r="160" ht="14.25" customHeight="1">
      <c r="H160" s="1"/>
      <c r="I160" s="1"/>
      <c r="J160" s="1"/>
    </row>
    <row r="161" ht="14.25" customHeight="1">
      <c r="H161" s="1"/>
      <c r="I161" s="1"/>
      <c r="J161" s="1"/>
    </row>
    <row r="162" ht="14.25" customHeight="1">
      <c r="H162" s="1"/>
      <c r="I162" s="1"/>
      <c r="J162" s="1"/>
    </row>
    <row r="163" ht="14.25" customHeight="1">
      <c r="H163" s="1"/>
      <c r="I163" s="1"/>
      <c r="J163" s="1"/>
    </row>
    <row r="164" ht="14.25" customHeight="1">
      <c r="H164" s="1"/>
      <c r="I164" s="1"/>
      <c r="J164" s="1"/>
    </row>
    <row r="165" ht="14.25" customHeight="1">
      <c r="H165" s="1"/>
      <c r="I165" s="1"/>
      <c r="J165" s="1"/>
    </row>
    <row r="166" ht="14.25" customHeight="1">
      <c r="H166" s="1"/>
      <c r="I166" s="1"/>
      <c r="J166" s="1"/>
    </row>
    <row r="167" ht="14.25" customHeight="1">
      <c r="H167" s="1"/>
      <c r="I167" s="1"/>
      <c r="J167" s="1"/>
    </row>
    <row r="168" ht="14.25" customHeight="1">
      <c r="H168" s="1"/>
      <c r="I168" s="1"/>
      <c r="J168" s="1"/>
    </row>
    <row r="169" ht="14.25" customHeight="1">
      <c r="H169" s="1"/>
      <c r="I169" s="1"/>
      <c r="J169" s="1"/>
    </row>
    <row r="170" ht="14.25" customHeight="1">
      <c r="H170" s="1"/>
      <c r="I170" s="1"/>
      <c r="J170" s="1"/>
    </row>
    <row r="171" ht="14.25" customHeight="1">
      <c r="H171" s="1"/>
      <c r="I171" s="1"/>
      <c r="J171" s="1"/>
    </row>
    <row r="172" ht="14.25" customHeight="1">
      <c r="H172" s="1"/>
      <c r="I172" s="1"/>
      <c r="J172" s="1"/>
    </row>
    <row r="173" ht="14.25" customHeight="1">
      <c r="H173" s="1"/>
      <c r="I173" s="1"/>
      <c r="J173" s="1"/>
    </row>
    <row r="174" ht="14.25" customHeight="1">
      <c r="H174" s="1"/>
      <c r="I174" s="1"/>
      <c r="J174" s="1"/>
    </row>
    <row r="175" ht="14.25" customHeight="1">
      <c r="H175" s="1"/>
      <c r="I175" s="1"/>
      <c r="J175" s="1"/>
    </row>
    <row r="176" ht="14.25" customHeight="1">
      <c r="H176" s="1"/>
      <c r="I176" s="1"/>
      <c r="J176" s="1"/>
    </row>
    <row r="177" ht="14.25" customHeight="1">
      <c r="H177" s="1"/>
      <c r="I177" s="1"/>
      <c r="J177" s="1"/>
    </row>
    <row r="178" ht="14.25" customHeight="1">
      <c r="H178" s="1"/>
      <c r="I178" s="1"/>
      <c r="J178" s="1"/>
    </row>
    <row r="179" ht="14.25" customHeight="1">
      <c r="H179" s="1"/>
      <c r="I179" s="1"/>
      <c r="J179" s="1"/>
    </row>
    <row r="180" ht="14.25" customHeight="1">
      <c r="H180" s="1"/>
      <c r="I180" s="1"/>
      <c r="J180" s="1"/>
    </row>
    <row r="181" ht="14.25" customHeight="1">
      <c r="H181" s="1"/>
      <c r="I181" s="1"/>
      <c r="J181" s="1"/>
    </row>
    <row r="182" ht="14.25" customHeight="1">
      <c r="H182" s="1"/>
      <c r="I182" s="1"/>
      <c r="J182" s="1"/>
    </row>
    <row r="183" ht="14.25" customHeight="1">
      <c r="H183" s="1"/>
      <c r="I183" s="1"/>
      <c r="J183" s="1"/>
    </row>
    <row r="184" ht="14.25" customHeight="1">
      <c r="H184" s="1"/>
      <c r="I184" s="1"/>
      <c r="J184" s="1"/>
    </row>
    <row r="185" ht="14.25" customHeight="1">
      <c r="H185" s="1"/>
      <c r="I185" s="1"/>
      <c r="J185" s="1"/>
    </row>
    <row r="186" ht="14.25" customHeight="1">
      <c r="H186" s="1"/>
      <c r="I186" s="1"/>
      <c r="J186" s="1"/>
    </row>
    <row r="187" ht="14.25" customHeight="1">
      <c r="H187" s="1"/>
      <c r="I187" s="1"/>
      <c r="J187" s="1"/>
    </row>
    <row r="188" ht="14.25" customHeight="1">
      <c r="H188" s="1"/>
      <c r="I188" s="1"/>
      <c r="J188" s="1"/>
    </row>
    <row r="189" ht="14.25" customHeight="1">
      <c r="H189" s="1"/>
      <c r="I189" s="1"/>
      <c r="J189" s="1"/>
    </row>
    <row r="190" ht="14.25" customHeight="1">
      <c r="H190" s="1"/>
      <c r="I190" s="1"/>
      <c r="J190" s="1"/>
    </row>
    <row r="191" ht="14.25" customHeight="1">
      <c r="H191" s="1"/>
      <c r="I191" s="1"/>
      <c r="J191" s="1"/>
    </row>
    <row r="192" ht="14.25" customHeight="1">
      <c r="H192" s="1"/>
      <c r="I192" s="1"/>
      <c r="J192" s="1"/>
    </row>
    <row r="193" ht="14.25" customHeight="1">
      <c r="H193" s="1"/>
      <c r="I193" s="1"/>
      <c r="J193" s="1"/>
    </row>
    <row r="194" ht="14.25" customHeight="1">
      <c r="H194" s="1"/>
      <c r="I194" s="1"/>
      <c r="J194" s="1"/>
    </row>
    <row r="195" ht="14.25" customHeight="1">
      <c r="H195" s="1"/>
      <c r="I195" s="1"/>
      <c r="J195" s="1"/>
    </row>
    <row r="196" ht="14.25" customHeight="1">
      <c r="H196" s="1"/>
      <c r="I196" s="1"/>
      <c r="J196" s="1"/>
    </row>
    <row r="197" ht="14.25" customHeight="1">
      <c r="H197" s="1"/>
      <c r="I197" s="1"/>
      <c r="J197" s="1"/>
    </row>
    <row r="198" ht="14.25" customHeight="1">
      <c r="H198" s="1"/>
      <c r="I198" s="1"/>
      <c r="J198" s="1"/>
    </row>
    <row r="199" ht="14.25" customHeight="1">
      <c r="H199" s="1"/>
      <c r="I199" s="1"/>
      <c r="J199" s="1"/>
    </row>
    <row r="200" ht="14.25" customHeight="1">
      <c r="H200" s="1"/>
      <c r="I200" s="1"/>
      <c r="J200" s="1"/>
    </row>
    <row r="201" ht="14.25" customHeight="1">
      <c r="H201" s="1"/>
      <c r="I201" s="1"/>
      <c r="J201" s="1"/>
    </row>
    <row r="202" ht="14.25" customHeight="1">
      <c r="H202" s="1"/>
      <c r="I202" s="1"/>
      <c r="J202" s="1"/>
    </row>
    <row r="203" ht="14.25" customHeight="1">
      <c r="H203" s="1"/>
      <c r="I203" s="1"/>
      <c r="J203" s="1"/>
    </row>
    <row r="204" ht="14.25" customHeight="1">
      <c r="H204" s="1"/>
      <c r="I204" s="1"/>
      <c r="J204" s="1"/>
    </row>
    <row r="205" ht="14.25" customHeight="1">
      <c r="H205" s="1"/>
      <c r="I205" s="1"/>
      <c r="J205" s="1"/>
    </row>
    <row r="206" ht="14.25" customHeight="1">
      <c r="H206" s="1"/>
      <c r="I206" s="1"/>
      <c r="J206" s="1"/>
    </row>
    <row r="207" ht="14.25" customHeight="1">
      <c r="H207" s="1"/>
      <c r="I207" s="1"/>
      <c r="J207" s="1"/>
    </row>
    <row r="208" ht="14.25" customHeight="1">
      <c r="H208" s="1"/>
      <c r="I208" s="1"/>
      <c r="J208" s="1"/>
    </row>
    <row r="209" ht="14.25" customHeight="1">
      <c r="H209" s="1"/>
      <c r="I209" s="1"/>
      <c r="J209" s="1"/>
    </row>
    <row r="210" ht="14.25" customHeight="1">
      <c r="H210" s="1"/>
      <c r="I210" s="1"/>
      <c r="J210" s="1"/>
    </row>
    <row r="211" ht="14.25" customHeight="1">
      <c r="H211" s="1"/>
      <c r="I211" s="1"/>
      <c r="J211" s="1"/>
    </row>
    <row r="212" ht="14.25" customHeight="1">
      <c r="H212" s="1"/>
      <c r="I212" s="1"/>
      <c r="J212" s="1"/>
    </row>
    <row r="213" ht="14.25" customHeight="1">
      <c r="H213" s="1"/>
      <c r="I213" s="1"/>
      <c r="J213" s="1"/>
    </row>
    <row r="214" ht="14.25" customHeight="1">
      <c r="H214" s="1"/>
      <c r="I214" s="1"/>
      <c r="J214" s="1"/>
    </row>
    <row r="215" ht="14.25" customHeight="1">
      <c r="H215" s="1"/>
      <c r="I215" s="1"/>
      <c r="J215" s="1"/>
    </row>
    <row r="216" ht="14.25" customHeight="1">
      <c r="H216" s="1"/>
      <c r="I216" s="1"/>
      <c r="J216" s="1"/>
    </row>
    <row r="217" ht="14.25" customHeight="1">
      <c r="H217" s="1"/>
      <c r="I217" s="1"/>
      <c r="J217" s="1"/>
    </row>
    <row r="218" ht="14.25" customHeight="1">
      <c r="H218" s="1"/>
      <c r="I218" s="1"/>
      <c r="J218" s="1"/>
    </row>
    <row r="219" ht="14.25" customHeight="1">
      <c r="H219" s="1"/>
      <c r="I219" s="1"/>
      <c r="J219" s="1"/>
    </row>
    <row r="220" ht="14.25" customHeight="1">
      <c r="H220" s="1"/>
      <c r="I220" s="1"/>
      <c r="J220" s="1"/>
    </row>
    <row r="221" ht="14.25" customHeight="1">
      <c r="H221" s="1"/>
      <c r="I221" s="1"/>
      <c r="J221" s="1"/>
    </row>
    <row r="222" ht="14.25" customHeight="1">
      <c r="H222" s="1"/>
      <c r="I222" s="1"/>
      <c r="J222" s="1"/>
    </row>
    <row r="223" ht="14.25" customHeight="1">
      <c r="H223" s="1"/>
      <c r="I223" s="1"/>
      <c r="J223" s="1"/>
    </row>
    <row r="224" ht="14.25" customHeight="1">
      <c r="H224" s="1"/>
      <c r="I224" s="1"/>
      <c r="J224" s="1"/>
    </row>
    <row r="225" ht="14.25" customHeight="1">
      <c r="H225" s="1"/>
      <c r="I225" s="1"/>
      <c r="J225" s="1"/>
    </row>
    <row r="226" ht="14.25" customHeight="1">
      <c r="H226" s="1"/>
      <c r="I226" s="1"/>
      <c r="J226" s="1"/>
    </row>
    <row r="227" ht="14.25" customHeight="1">
      <c r="H227" s="1"/>
      <c r="I227" s="1"/>
      <c r="J227" s="1"/>
    </row>
    <row r="228" ht="14.25" customHeight="1">
      <c r="H228" s="1"/>
      <c r="I228" s="1"/>
      <c r="J228" s="1"/>
    </row>
    <row r="229" ht="14.25" customHeight="1">
      <c r="H229" s="1"/>
      <c r="I229" s="1"/>
      <c r="J229" s="1"/>
    </row>
    <row r="230" ht="14.25" customHeight="1">
      <c r="H230" s="1"/>
      <c r="I230" s="1"/>
      <c r="J230" s="1"/>
    </row>
    <row r="231" ht="14.25" customHeight="1">
      <c r="H231" s="1"/>
      <c r="I231" s="1"/>
      <c r="J231" s="1"/>
    </row>
    <row r="232" ht="14.25" customHeight="1">
      <c r="H232" s="1"/>
      <c r="I232" s="1"/>
      <c r="J232" s="1"/>
    </row>
    <row r="233" ht="14.25" customHeight="1">
      <c r="H233" s="1"/>
      <c r="I233" s="1"/>
      <c r="J233" s="1"/>
    </row>
    <row r="234" ht="14.25" customHeight="1">
      <c r="H234" s="1"/>
      <c r="I234" s="1"/>
      <c r="J234" s="1"/>
    </row>
    <row r="235" ht="14.25" customHeight="1">
      <c r="H235" s="1"/>
      <c r="I235" s="1"/>
      <c r="J235" s="1"/>
    </row>
    <row r="236" ht="14.25" customHeight="1">
      <c r="H236" s="1"/>
      <c r="I236" s="1"/>
      <c r="J236" s="1"/>
    </row>
    <row r="237" ht="14.25" customHeight="1">
      <c r="H237" s="1"/>
      <c r="I237" s="1"/>
      <c r="J237" s="1"/>
    </row>
    <row r="238" ht="14.25" customHeight="1">
      <c r="H238" s="1"/>
      <c r="I238" s="1"/>
      <c r="J238" s="1"/>
    </row>
    <row r="239" ht="14.25" customHeight="1">
      <c r="H239" s="1"/>
      <c r="I239" s="1"/>
      <c r="J239" s="1"/>
    </row>
    <row r="240" ht="14.25" customHeight="1">
      <c r="H240" s="1"/>
      <c r="I240" s="1"/>
      <c r="J240" s="1"/>
    </row>
    <row r="241" ht="14.25" customHeight="1">
      <c r="H241" s="1"/>
      <c r="I241" s="1"/>
      <c r="J241" s="1"/>
    </row>
    <row r="242" ht="14.25" customHeight="1">
      <c r="H242" s="1"/>
      <c r="I242" s="1"/>
      <c r="J242" s="1"/>
    </row>
    <row r="243" ht="14.25" customHeight="1">
      <c r="H243" s="1"/>
      <c r="I243" s="1"/>
      <c r="J243" s="1"/>
    </row>
    <row r="244" ht="14.25" customHeight="1">
      <c r="H244" s="1"/>
      <c r="I244" s="1"/>
      <c r="J244" s="1"/>
    </row>
    <row r="245" ht="14.25" customHeight="1">
      <c r="H245" s="1"/>
      <c r="I245" s="1"/>
      <c r="J245" s="1"/>
    </row>
    <row r="246" ht="14.25" customHeight="1">
      <c r="H246" s="1"/>
      <c r="I246" s="1"/>
      <c r="J246" s="1"/>
    </row>
    <row r="247" ht="14.25" customHeight="1">
      <c r="H247" s="1"/>
      <c r="I247" s="1"/>
      <c r="J247" s="1"/>
    </row>
    <row r="248" ht="14.25" customHeight="1">
      <c r="H248" s="1"/>
      <c r="I248" s="1"/>
      <c r="J248" s="1"/>
    </row>
    <row r="249" ht="14.25" customHeight="1">
      <c r="H249" s="1"/>
      <c r="I249" s="1"/>
      <c r="J249" s="1"/>
    </row>
    <row r="250" ht="14.25" customHeight="1">
      <c r="H250" s="1"/>
      <c r="I250" s="1"/>
      <c r="J250" s="1"/>
    </row>
    <row r="251" ht="14.25" customHeight="1">
      <c r="H251" s="1"/>
      <c r="I251" s="1"/>
      <c r="J251" s="1"/>
    </row>
    <row r="252" ht="14.25" customHeight="1">
      <c r="H252" s="1"/>
      <c r="I252" s="1"/>
      <c r="J252" s="1"/>
    </row>
    <row r="253" ht="14.25" customHeight="1">
      <c r="H253" s="1"/>
      <c r="I253" s="1"/>
      <c r="J253" s="1"/>
    </row>
    <row r="254" ht="14.25" customHeight="1">
      <c r="H254" s="1"/>
      <c r="I254" s="1"/>
      <c r="J254" s="1"/>
    </row>
    <row r="255" ht="14.25" customHeight="1">
      <c r="H255" s="1"/>
      <c r="I255" s="1"/>
      <c r="J255" s="1"/>
    </row>
    <row r="256" ht="14.25" customHeight="1">
      <c r="H256" s="1"/>
      <c r="I256" s="1"/>
      <c r="J256" s="1"/>
    </row>
    <row r="257" ht="14.25" customHeight="1">
      <c r="H257" s="1"/>
      <c r="I257" s="1"/>
      <c r="J257" s="1"/>
    </row>
    <row r="258" ht="14.25" customHeight="1">
      <c r="H258" s="1"/>
      <c r="I258" s="1"/>
      <c r="J258" s="1"/>
    </row>
    <row r="259" ht="14.25" customHeight="1">
      <c r="H259" s="1"/>
      <c r="I259" s="1"/>
      <c r="J259" s="1"/>
    </row>
    <row r="260" ht="14.25" customHeight="1">
      <c r="H260" s="1"/>
      <c r="I260" s="1"/>
      <c r="J260" s="1"/>
    </row>
    <row r="261" ht="14.25" customHeight="1">
      <c r="H261" s="1"/>
      <c r="I261" s="1"/>
      <c r="J261" s="1"/>
    </row>
    <row r="262" ht="14.25" customHeight="1">
      <c r="H262" s="1"/>
      <c r="I262" s="1"/>
      <c r="J262" s="1"/>
    </row>
    <row r="263" ht="14.25" customHeight="1">
      <c r="H263" s="1"/>
      <c r="I263" s="1"/>
      <c r="J263" s="1"/>
    </row>
    <row r="264" ht="14.25" customHeight="1">
      <c r="H264" s="1"/>
      <c r="I264" s="1"/>
      <c r="J264" s="1"/>
    </row>
    <row r="265" ht="14.25" customHeight="1">
      <c r="H265" s="1"/>
      <c r="I265" s="1"/>
      <c r="J265" s="1"/>
    </row>
    <row r="266" ht="14.25" customHeight="1">
      <c r="H266" s="1"/>
      <c r="I266" s="1"/>
      <c r="J266" s="1"/>
    </row>
    <row r="267" ht="14.25" customHeight="1">
      <c r="H267" s="1"/>
      <c r="I267" s="1"/>
      <c r="J267" s="1"/>
    </row>
    <row r="268" ht="14.25" customHeight="1">
      <c r="H268" s="1"/>
      <c r="I268" s="1"/>
      <c r="J268" s="1"/>
    </row>
    <row r="269" ht="14.25" customHeight="1">
      <c r="H269" s="1"/>
      <c r="I269" s="1"/>
      <c r="J269" s="1"/>
    </row>
    <row r="270" ht="14.25" customHeight="1">
      <c r="H270" s="1"/>
      <c r="I270" s="1"/>
      <c r="J270" s="1"/>
    </row>
    <row r="271" ht="14.25" customHeight="1">
      <c r="H271" s="1"/>
      <c r="I271" s="1"/>
      <c r="J271" s="1"/>
    </row>
    <row r="272" ht="14.25" customHeight="1">
      <c r="H272" s="1"/>
      <c r="I272" s="1"/>
      <c r="J272" s="1"/>
    </row>
    <row r="273" ht="14.25" customHeight="1">
      <c r="H273" s="1"/>
      <c r="I273" s="1"/>
      <c r="J273" s="1"/>
    </row>
    <row r="274" ht="14.25" customHeight="1">
      <c r="H274" s="1"/>
      <c r="I274" s="1"/>
      <c r="J274" s="1"/>
    </row>
    <row r="275" ht="14.25" customHeight="1">
      <c r="H275" s="1"/>
      <c r="I275" s="1"/>
      <c r="J275" s="1"/>
    </row>
    <row r="276" ht="14.25" customHeight="1">
      <c r="H276" s="1"/>
      <c r="I276" s="1"/>
      <c r="J276" s="1"/>
    </row>
    <row r="277" ht="14.25" customHeight="1">
      <c r="H277" s="1"/>
      <c r="I277" s="1"/>
      <c r="J277" s="1"/>
    </row>
    <row r="278" ht="14.25" customHeight="1">
      <c r="H278" s="1"/>
      <c r="I278" s="1"/>
      <c r="J278" s="1"/>
    </row>
    <row r="279" ht="14.25" customHeight="1">
      <c r="H279" s="1"/>
      <c r="I279" s="1"/>
      <c r="J279" s="1"/>
    </row>
    <row r="280" ht="14.25" customHeight="1">
      <c r="H280" s="1"/>
      <c r="I280" s="1"/>
      <c r="J280" s="1"/>
    </row>
    <row r="281" ht="14.25" customHeight="1">
      <c r="H281" s="1"/>
      <c r="I281" s="1"/>
      <c r="J281" s="1"/>
    </row>
    <row r="282" ht="14.25" customHeight="1">
      <c r="H282" s="1"/>
      <c r="I282" s="1"/>
      <c r="J282" s="1"/>
    </row>
    <row r="283" ht="14.25" customHeight="1">
      <c r="H283" s="1"/>
      <c r="I283" s="1"/>
      <c r="J283" s="1"/>
    </row>
    <row r="284" ht="14.25" customHeight="1">
      <c r="H284" s="1"/>
      <c r="I284" s="1"/>
      <c r="J284" s="1"/>
    </row>
    <row r="285" ht="14.25" customHeight="1">
      <c r="H285" s="1"/>
      <c r="I285" s="1"/>
      <c r="J285" s="1"/>
    </row>
    <row r="286" ht="14.25" customHeight="1">
      <c r="H286" s="1"/>
      <c r="I286" s="1"/>
      <c r="J286" s="1"/>
    </row>
    <row r="287" ht="14.25" customHeight="1">
      <c r="H287" s="1"/>
      <c r="I287" s="1"/>
      <c r="J287" s="1"/>
    </row>
    <row r="288" ht="14.25" customHeight="1">
      <c r="H288" s="1"/>
      <c r="I288" s="1"/>
      <c r="J288" s="1"/>
    </row>
    <row r="289" ht="14.25" customHeight="1">
      <c r="H289" s="1"/>
      <c r="I289" s="1"/>
      <c r="J289" s="1"/>
    </row>
    <row r="290" ht="14.25" customHeight="1">
      <c r="H290" s="1"/>
      <c r="I290" s="1"/>
      <c r="J290" s="1"/>
    </row>
    <row r="291" ht="14.25" customHeight="1">
      <c r="H291" s="1"/>
      <c r="I291" s="1"/>
      <c r="J291" s="1"/>
    </row>
    <row r="292" ht="14.25" customHeight="1">
      <c r="H292" s="1"/>
      <c r="I292" s="1"/>
      <c r="J292" s="1"/>
    </row>
    <row r="293" ht="14.25" customHeight="1">
      <c r="H293" s="1"/>
      <c r="I293" s="1"/>
      <c r="J293" s="1"/>
    </row>
    <row r="294" ht="14.25" customHeight="1">
      <c r="H294" s="1"/>
      <c r="I294" s="1"/>
      <c r="J294" s="1"/>
    </row>
    <row r="295" ht="14.25" customHeight="1">
      <c r="H295" s="1"/>
      <c r="I295" s="1"/>
      <c r="J295" s="1"/>
    </row>
    <row r="296" ht="14.25" customHeight="1">
      <c r="H296" s="1"/>
      <c r="I296" s="1"/>
      <c r="J296" s="1"/>
    </row>
    <row r="297" ht="14.25" customHeight="1">
      <c r="H297" s="1"/>
      <c r="I297" s="1"/>
      <c r="J297" s="1"/>
    </row>
    <row r="298" ht="14.25" customHeight="1">
      <c r="H298" s="1"/>
      <c r="I298" s="1"/>
      <c r="J298" s="1"/>
    </row>
    <row r="299" ht="14.25" customHeight="1">
      <c r="H299" s="1"/>
      <c r="I299" s="1"/>
      <c r="J299" s="1"/>
    </row>
    <row r="300" ht="14.25" customHeight="1">
      <c r="H300" s="1"/>
      <c r="I300" s="1"/>
      <c r="J300" s="1"/>
    </row>
    <row r="301" ht="14.25" customHeight="1">
      <c r="H301" s="1"/>
      <c r="I301" s="1"/>
      <c r="J301" s="1"/>
    </row>
    <row r="302" ht="14.25" customHeight="1">
      <c r="H302" s="1"/>
      <c r="I302" s="1"/>
      <c r="J302" s="1"/>
    </row>
    <row r="303" ht="14.25" customHeight="1">
      <c r="H303" s="1"/>
      <c r="I303" s="1"/>
      <c r="J303" s="1"/>
    </row>
    <row r="304" ht="14.25" customHeight="1">
      <c r="H304" s="1"/>
      <c r="I304" s="1"/>
      <c r="J304" s="1"/>
    </row>
    <row r="305" ht="14.25" customHeight="1">
      <c r="H305" s="1"/>
      <c r="I305" s="1"/>
      <c r="J305" s="1"/>
    </row>
    <row r="306" ht="14.25" customHeight="1">
      <c r="H306" s="1"/>
      <c r="I306" s="1"/>
      <c r="J306" s="1"/>
    </row>
    <row r="307" ht="14.25" customHeight="1">
      <c r="H307" s="1"/>
      <c r="I307" s="1"/>
      <c r="J307" s="1"/>
    </row>
    <row r="308" ht="14.25" customHeight="1">
      <c r="H308" s="1"/>
      <c r="I308" s="1"/>
      <c r="J308" s="1"/>
    </row>
    <row r="309" ht="14.25" customHeight="1">
      <c r="H309" s="1"/>
      <c r="I309" s="1"/>
      <c r="J309" s="1"/>
    </row>
    <row r="310" ht="14.25" customHeight="1">
      <c r="H310" s="1"/>
      <c r="I310" s="1"/>
      <c r="J310" s="1"/>
    </row>
    <row r="311" ht="14.25" customHeight="1">
      <c r="H311" s="1"/>
      <c r="I311" s="1"/>
      <c r="J311" s="1"/>
    </row>
    <row r="312" ht="14.25" customHeight="1">
      <c r="H312" s="1"/>
      <c r="I312" s="1"/>
      <c r="J312" s="1"/>
    </row>
    <row r="313" ht="14.25" customHeight="1">
      <c r="H313" s="1"/>
      <c r="I313" s="1"/>
      <c r="J313" s="1"/>
    </row>
    <row r="314" ht="14.25" customHeight="1">
      <c r="H314" s="1"/>
      <c r="I314" s="1"/>
      <c r="J314" s="1"/>
    </row>
    <row r="315" ht="14.25" customHeight="1">
      <c r="H315" s="1"/>
      <c r="I315" s="1"/>
      <c r="J315" s="1"/>
    </row>
    <row r="316" ht="14.25" customHeight="1">
      <c r="H316" s="1"/>
      <c r="I316" s="1"/>
      <c r="J316" s="1"/>
    </row>
    <row r="317" ht="14.25" customHeight="1">
      <c r="H317" s="1"/>
      <c r="I317" s="1"/>
      <c r="J317" s="1"/>
    </row>
    <row r="318" ht="14.25" customHeight="1">
      <c r="H318" s="1"/>
      <c r="I318" s="1"/>
      <c r="J318" s="1"/>
    </row>
    <row r="319" ht="14.25" customHeight="1">
      <c r="H319" s="1"/>
      <c r="I319" s="1"/>
      <c r="J319" s="1"/>
    </row>
    <row r="320" ht="14.25" customHeight="1">
      <c r="H320" s="1"/>
      <c r="I320" s="1"/>
      <c r="J320" s="1"/>
    </row>
    <row r="321" ht="14.25" customHeight="1">
      <c r="H321" s="1"/>
      <c r="I321" s="1"/>
      <c r="J321" s="1"/>
    </row>
    <row r="322" ht="14.25" customHeight="1">
      <c r="H322" s="1"/>
      <c r="I322" s="1"/>
      <c r="J322" s="1"/>
    </row>
    <row r="323" ht="14.25" customHeight="1">
      <c r="H323" s="1"/>
      <c r="I323" s="1"/>
      <c r="J323" s="1"/>
    </row>
    <row r="324" ht="14.25" customHeight="1">
      <c r="H324" s="1"/>
      <c r="I324" s="1"/>
      <c r="J324" s="1"/>
    </row>
    <row r="325" ht="14.25" customHeight="1">
      <c r="H325" s="1"/>
      <c r="I325" s="1"/>
      <c r="J325" s="1"/>
    </row>
    <row r="326" ht="14.25" customHeight="1">
      <c r="H326" s="1"/>
      <c r="I326" s="1"/>
      <c r="J326" s="1"/>
    </row>
    <row r="327" ht="14.25" customHeight="1">
      <c r="H327" s="1"/>
      <c r="I327" s="1"/>
      <c r="J327" s="1"/>
    </row>
    <row r="328" ht="14.25" customHeight="1">
      <c r="H328" s="1"/>
      <c r="I328" s="1"/>
      <c r="J328" s="1"/>
    </row>
    <row r="329" ht="14.25" customHeight="1">
      <c r="H329" s="1"/>
      <c r="I329" s="1"/>
      <c r="J329" s="1"/>
    </row>
    <row r="330" ht="14.25" customHeight="1">
      <c r="H330" s="1"/>
      <c r="I330" s="1"/>
      <c r="J330" s="1"/>
    </row>
    <row r="331" ht="14.25" customHeight="1">
      <c r="H331" s="1"/>
      <c r="I331" s="1"/>
      <c r="J331" s="1"/>
    </row>
    <row r="332" ht="14.25" customHeight="1">
      <c r="H332" s="1"/>
      <c r="I332" s="1"/>
      <c r="J332" s="1"/>
    </row>
    <row r="333" ht="14.25" customHeight="1">
      <c r="H333" s="1"/>
      <c r="I333" s="1"/>
      <c r="J333" s="1"/>
    </row>
    <row r="334" ht="14.25" customHeight="1">
      <c r="H334" s="1"/>
      <c r="I334" s="1"/>
      <c r="J334" s="1"/>
    </row>
    <row r="335" ht="14.25" customHeight="1">
      <c r="H335" s="1"/>
      <c r="I335" s="1"/>
      <c r="J335" s="1"/>
    </row>
    <row r="336" ht="14.25" customHeight="1">
      <c r="H336" s="1"/>
      <c r="I336" s="1"/>
      <c r="J336" s="1"/>
    </row>
    <row r="337" ht="14.25" customHeight="1">
      <c r="H337" s="1"/>
      <c r="I337" s="1"/>
      <c r="J337" s="1"/>
    </row>
    <row r="338" ht="14.25" customHeight="1">
      <c r="H338" s="1"/>
      <c r="I338" s="1"/>
      <c r="J338" s="1"/>
    </row>
    <row r="339" ht="14.25" customHeight="1">
      <c r="H339" s="1"/>
      <c r="I339" s="1"/>
      <c r="J339" s="1"/>
    </row>
    <row r="340" ht="14.25" customHeight="1">
      <c r="H340" s="1"/>
      <c r="I340" s="1"/>
      <c r="J340" s="1"/>
    </row>
    <row r="341" ht="14.25" customHeight="1">
      <c r="H341" s="1"/>
      <c r="I341" s="1"/>
      <c r="J341" s="1"/>
    </row>
    <row r="342" ht="14.25" customHeight="1">
      <c r="H342" s="1"/>
      <c r="I342" s="1"/>
      <c r="J342" s="1"/>
    </row>
    <row r="343" ht="14.25" customHeight="1">
      <c r="H343" s="1"/>
      <c r="I343" s="1"/>
      <c r="J343" s="1"/>
    </row>
    <row r="344" ht="14.25" customHeight="1">
      <c r="H344" s="1"/>
      <c r="I344" s="1"/>
      <c r="J344" s="1"/>
    </row>
    <row r="345" ht="14.25" customHeight="1">
      <c r="H345" s="1"/>
      <c r="I345" s="1"/>
      <c r="J345" s="1"/>
    </row>
    <row r="346" ht="14.25" customHeight="1">
      <c r="H346" s="1"/>
      <c r="I346" s="1"/>
      <c r="J346" s="1"/>
    </row>
    <row r="347" ht="14.25" customHeight="1">
      <c r="H347" s="1"/>
      <c r="I347" s="1"/>
      <c r="J347" s="1"/>
    </row>
    <row r="348" ht="14.25" customHeight="1">
      <c r="H348" s="1"/>
      <c r="I348" s="1"/>
      <c r="J348" s="1"/>
    </row>
    <row r="349" ht="14.25" customHeight="1">
      <c r="H349" s="1"/>
      <c r="I349" s="1"/>
      <c r="J349" s="1"/>
    </row>
    <row r="350" ht="14.25" customHeight="1">
      <c r="H350" s="1"/>
      <c r="I350" s="1"/>
      <c r="J350" s="1"/>
    </row>
    <row r="351" ht="14.25" customHeight="1">
      <c r="H351" s="1"/>
      <c r="I351" s="1"/>
      <c r="J351" s="1"/>
    </row>
    <row r="352" ht="14.25" customHeight="1">
      <c r="H352" s="1"/>
      <c r="I352" s="1"/>
      <c r="J352" s="1"/>
    </row>
    <row r="353" ht="14.25" customHeight="1">
      <c r="H353" s="1"/>
      <c r="I353" s="1"/>
      <c r="J353" s="1"/>
    </row>
    <row r="354" ht="14.25" customHeight="1">
      <c r="H354" s="1"/>
      <c r="I354" s="1"/>
      <c r="J354" s="1"/>
    </row>
    <row r="355" ht="14.25" customHeight="1">
      <c r="H355" s="1"/>
      <c r="I355" s="1"/>
      <c r="J355" s="1"/>
    </row>
    <row r="356" ht="14.25" customHeight="1">
      <c r="H356" s="1"/>
      <c r="I356" s="1"/>
      <c r="J356" s="1"/>
    </row>
    <row r="357" ht="14.25" customHeight="1">
      <c r="H357" s="1"/>
      <c r="I357" s="1"/>
      <c r="J357" s="1"/>
    </row>
    <row r="358" ht="14.25" customHeight="1">
      <c r="H358" s="1"/>
      <c r="I358" s="1"/>
      <c r="J358" s="1"/>
    </row>
    <row r="359" ht="14.25" customHeight="1">
      <c r="H359" s="1"/>
      <c r="I359" s="1"/>
      <c r="J359" s="1"/>
    </row>
    <row r="360" ht="14.25" customHeight="1">
      <c r="H360" s="1"/>
      <c r="I360" s="1"/>
      <c r="J360" s="1"/>
    </row>
    <row r="361" ht="14.25" customHeight="1">
      <c r="H361" s="1"/>
      <c r="I361" s="1"/>
      <c r="J361" s="1"/>
    </row>
    <row r="362" ht="14.25" customHeight="1">
      <c r="H362" s="1"/>
      <c r="I362" s="1"/>
      <c r="J362" s="1"/>
    </row>
    <row r="363" ht="14.25" customHeight="1">
      <c r="H363" s="1"/>
      <c r="I363" s="1"/>
      <c r="J363" s="1"/>
    </row>
    <row r="364" ht="14.25" customHeight="1">
      <c r="H364" s="1"/>
      <c r="I364" s="1"/>
      <c r="J364" s="1"/>
    </row>
    <row r="365" ht="14.25" customHeight="1">
      <c r="H365" s="1"/>
      <c r="I365" s="1"/>
      <c r="J365" s="1"/>
    </row>
    <row r="366" ht="14.25" customHeight="1">
      <c r="H366" s="1"/>
      <c r="I366" s="1"/>
      <c r="J366" s="1"/>
    </row>
    <row r="367" ht="14.25" customHeight="1">
      <c r="H367" s="1"/>
      <c r="I367" s="1"/>
      <c r="J367" s="1"/>
    </row>
    <row r="368" ht="14.25" customHeight="1">
      <c r="H368" s="1"/>
      <c r="I368" s="1"/>
      <c r="J368" s="1"/>
    </row>
    <row r="369" ht="14.25" customHeight="1">
      <c r="H369" s="1"/>
      <c r="I369" s="1"/>
      <c r="J369" s="1"/>
    </row>
    <row r="370" ht="14.25" customHeight="1">
      <c r="H370" s="1"/>
      <c r="I370" s="1"/>
      <c r="J370" s="1"/>
    </row>
    <row r="371" ht="14.25" customHeight="1">
      <c r="H371" s="1"/>
      <c r="I371" s="1"/>
      <c r="J371" s="1"/>
    </row>
    <row r="372" ht="14.25" customHeight="1">
      <c r="H372" s="1"/>
      <c r="I372" s="1"/>
      <c r="J372" s="1"/>
    </row>
    <row r="373" ht="14.25" customHeight="1">
      <c r="H373" s="1"/>
      <c r="I373" s="1"/>
      <c r="J373" s="1"/>
    </row>
    <row r="374" ht="14.25" customHeight="1">
      <c r="H374" s="1"/>
      <c r="I374" s="1"/>
      <c r="J374" s="1"/>
    </row>
    <row r="375" ht="14.25" customHeight="1">
      <c r="H375" s="1"/>
      <c r="I375" s="1"/>
      <c r="J375" s="1"/>
    </row>
    <row r="376" ht="14.25" customHeight="1">
      <c r="H376" s="1"/>
      <c r="I376" s="1"/>
      <c r="J376" s="1"/>
    </row>
    <row r="377" ht="14.25" customHeight="1">
      <c r="H377" s="1"/>
      <c r="I377" s="1"/>
      <c r="J377" s="1"/>
    </row>
    <row r="378" ht="14.25" customHeight="1">
      <c r="H378" s="1"/>
      <c r="I378" s="1"/>
      <c r="J378" s="1"/>
    </row>
    <row r="379" ht="14.25" customHeight="1">
      <c r="H379" s="1"/>
      <c r="I379" s="1"/>
      <c r="J379" s="1"/>
    </row>
    <row r="380" ht="14.25" customHeight="1">
      <c r="H380" s="1"/>
      <c r="I380" s="1"/>
      <c r="J380" s="1"/>
    </row>
    <row r="381" ht="14.25" customHeight="1">
      <c r="H381" s="1"/>
      <c r="I381" s="1"/>
      <c r="J381" s="1"/>
    </row>
    <row r="382" ht="14.25" customHeight="1">
      <c r="H382" s="1"/>
      <c r="I382" s="1"/>
      <c r="J382" s="1"/>
    </row>
    <row r="383" ht="14.25" customHeight="1">
      <c r="H383" s="1"/>
      <c r="I383" s="1"/>
      <c r="J383" s="1"/>
    </row>
    <row r="384" ht="14.25" customHeight="1">
      <c r="H384" s="1"/>
      <c r="I384" s="1"/>
      <c r="J384" s="1"/>
    </row>
    <row r="385" ht="14.25" customHeight="1">
      <c r="H385" s="1"/>
      <c r="I385" s="1"/>
      <c r="J385" s="1"/>
    </row>
    <row r="386" ht="14.25" customHeight="1">
      <c r="H386" s="1"/>
      <c r="I386" s="1"/>
      <c r="J386" s="1"/>
    </row>
    <row r="387" ht="14.25" customHeight="1">
      <c r="H387" s="1"/>
      <c r="I387" s="1"/>
      <c r="J387" s="1"/>
    </row>
    <row r="388" ht="14.25" customHeight="1">
      <c r="H388" s="1"/>
      <c r="I388" s="1"/>
      <c r="J388" s="1"/>
    </row>
    <row r="389" ht="14.25" customHeight="1">
      <c r="H389" s="1"/>
      <c r="I389" s="1"/>
      <c r="J389" s="1"/>
    </row>
    <row r="390" ht="14.25" customHeight="1">
      <c r="H390" s="1"/>
      <c r="I390" s="1"/>
      <c r="J390" s="1"/>
    </row>
    <row r="391" ht="14.25" customHeight="1">
      <c r="H391" s="1"/>
      <c r="I391" s="1"/>
      <c r="J391" s="1"/>
    </row>
    <row r="392" ht="14.25" customHeight="1">
      <c r="H392" s="1"/>
      <c r="I392" s="1"/>
      <c r="J392" s="1"/>
    </row>
    <row r="393" ht="14.25" customHeight="1">
      <c r="H393" s="1"/>
      <c r="I393" s="1"/>
      <c r="J393" s="1"/>
    </row>
    <row r="394" ht="14.25" customHeight="1">
      <c r="H394" s="1"/>
      <c r="I394" s="1"/>
      <c r="J394" s="1"/>
    </row>
    <row r="395" ht="14.25" customHeight="1">
      <c r="H395" s="1"/>
      <c r="I395" s="1"/>
      <c r="J395" s="1"/>
    </row>
    <row r="396" ht="14.25" customHeight="1">
      <c r="H396" s="1"/>
      <c r="I396" s="1"/>
      <c r="J396" s="1"/>
    </row>
    <row r="397" ht="14.25" customHeight="1">
      <c r="H397" s="1"/>
      <c r="I397" s="1"/>
      <c r="J397" s="1"/>
    </row>
    <row r="398" ht="14.25" customHeight="1">
      <c r="H398" s="1"/>
      <c r="I398" s="1"/>
      <c r="J398" s="1"/>
    </row>
    <row r="399" ht="14.25" customHeight="1">
      <c r="H399" s="1"/>
      <c r="I399" s="1"/>
      <c r="J399" s="1"/>
    </row>
    <row r="400" ht="14.25" customHeight="1">
      <c r="H400" s="1"/>
      <c r="I400" s="1"/>
      <c r="J400" s="1"/>
    </row>
    <row r="401" ht="14.25" customHeight="1">
      <c r="H401" s="1"/>
      <c r="I401" s="1"/>
      <c r="J401" s="1"/>
    </row>
    <row r="402" ht="14.25" customHeight="1">
      <c r="H402" s="1"/>
      <c r="I402" s="1"/>
      <c r="J402" s="1"/>
    </row>
    <row r="403" ht="14.25" customHeight="1">
      <c r="H403" s="1"/>
      <c r="I403" s="1"/>
      <c r="J403" s="1"/>
    </row>
    <row r="404" ht="14.25" customHeight="1">
      <c r="H404" s="1"/>
      <c r="I404" s="1"/>
      <c r="J404" s="1"/>
    </row>
    <row r="405" ht="14.25" customHeight="1">
      <c r="H405" s="1"/>
      <c r="I405" s="1"/>
      <c r="J405" s="1"/>
    </row>
    <row r="406" ht="14.25" customHeight="1">
      <c r="H406" s="1"/>
      <c r="I406" s="1"/>
      <c r="J406" s="1"/>
    </row>
    <row r="407" ht="14.25" customHeight="1">
      <c r="H407" s="1"/>
      <c r="I407" s="1"/>
      <c r="J407" s="1"/>
    </row>
    <row r="408" ht="14.25" customHeight="1">
      <c r="H408" s="1"/>
      <c r="I408" s="1"/>
      <c r="J408" s="1"/>
    </row>
    <row r="409" ht="14.25" customHeight="1">
      <c r="H409" s="1"/>
      <c r="I409" s="1"/>
      <c r="J409" s="1"/>
    </row>
    <row r="410" ht="14.25" customHeight="1">
      <c r="H410" s="1"/>
      <c r="I410" s="1"/>
      <c r="J410" s="1"/>
    </row>
    <row r="411" ht="14.25" customHeight="1">
      <c r="H411" s="1"/>
      <c r="I411" s="1"/>
      <c r="J411" s="1"/>
    </row>
    <row r="412" ht="14.25" customHeight="1">
      <c r="H412" s="1"/>
      <c r="I412" s="1"/>
      <c r="J412" s="1"/>
    </row>
    <row r="413" ht="14.25" customHeight="1">
      <c r="H413" s="1"/>
      <c r="I413" s="1"/>
      <c r="J413" s="1"/>
    </row>
    <row r="414" ht="14.25" customHeight="1">
      <c r="H414" s="1"/>
      <c r="I414" s="1"/>
      <c r="J414" s="1"/>
    </row>
    <row r="415" ht="14.25" customHeight="1">
      <c r="H415" s="1"/>
      <c r="I415" s="1"/>
      <c r="J415" s="1"/>
    </row>
    <row r="416" ht="14.25" customHeight="1">
      <c r="H416" s="1"/>
      <c r="I416" s="1"/>
      <c r="J416" s="1"/>
    </row>
    <row r="417" ht="14.25" customHeight="1">
      <c r="H417" s="1"/>
      <c r="I417" s="1"/>
      <c r="J417" s="1"/>
    </row>
    <row r="418" ht="14.25" customHeight="1">
      <c r="H418" s="1"/>
      <c r="I418" s="1"/>
      <c r="J418" s="1"/>
    </row>
    <row r="419" ht="14.25" customHeight="1">
      <c r="H419" s="1"/>
      <c r="I419" s="1"/>
      <c r="J419" s="1"/>
    </row>
    <row r="420" ht="14.25" customHeight="1">
      <c r="H420" s="1"/>
      <c r="I420" s="1"/>
      <c r="J420" s="1"/>
    </row>
    <row r="421" ht="14.25" customHeight="1">
      <c r="H421" s="1"/>
      <c r="I421" s="1"/>
      <c r="J421" s="1"/>
    </row>
    <row r="422" ht="14.25" customHeight="1">
      <c r="H422" s="1"/>
      <c r="I422" s="1"/>
      <c r="J422" s="1"/>
    </row>
    <row r="423" ht="14.25" customHeight="1">
      <c r="H423" s="1"/>
      <c r="I423" s="1"/>
      <c r="J423" s="1"/>
    </row>
    <row r="424" ht="14.25" customHeight="1">
      <c r="H424" s="1"/>
      <c r="I424" s="1"/>
      <c r="J424" s="1"/>
    </row>
    <row r="425" ht="14.25" customHeight="1">
      <c r="H425" s="1"/>
      <c r="I425" s="1"/>
      <c r="J425" s="1"/>
    </row>
    <row r="426" ht="14.25" customHeight="1">
      <c r="H426" s="1"/>
      <c r="I426" s="1"/>
      <c r="J426" s="1"/>
    </row>
    <row r="427" ht="14.25" customHeight="1">
      <c r="H427" s="1"/>
      <c r="I427" s="1"/>
      <c r="J427" s="1"/>
    </row>
    <row r="428" ht="14.25" customHeight="1">
      <c r="H428" s="1"/>
      <c r="I428" s="1"/>
      <c r="J428" s="1"/>
    </row>
    <row r="429" ht="14.25" customHeight="1">
      <c r="H429" s="1"/>
      <c r="I429" s="1"/>
      <c r="J429" s="1"/>
    </row>
    <row r="430" ht="14.25" customHeight="1">
      <c r="H430" s="1"/>
      <c r="I430" s="1"/>
      <c r="J430" s="1"/>
    </row>
    <row r="431" ht="14.25" customHeight="1">
      <c r="H431" s="1"/>
      <c r="I431" s="1"/>
      <c r="J431" s="1"/>
    </row>
    <row r="432" ht="14.25" customHeight="1">
      <c r="H432" s="1"/>
      <c r="I432" s="1"/>
      <c r="J432" s="1"/>
    </row>
    <row r="433" ht="14.25" customHeight="1">
      <c r="H433" s="1"/>
      <c r="I433" s="1"/>
      <c r="J433" s="1"/>
    </row>
    <row r="434" ht="14.25" customHeight="1">
      <c r="H434" s="1"/>
      <c r="I434" s="1"/>
      <c r="J434" s="1"/>
    </row>
    <row r="435" ht="14.25" customHeight="1">
      <c r="H435" s="1"/>
      <c r="I435" s="1"/>
      <c r="J435" s="1"/>
    </row>
    <row r="436" ht="14.25" customHeight="1">
      <c r="H436" s="1"/>
      <c r="I436" s="1"/>
      <c r="J436" s="1"/>
    </row>
    <row r="437" ht="14.25" customHeight="1">
      <c r="H437" s="1"/>
      <c r="I437" s="1"/>
      <c r="J437" s="1"/>
    </row>
    <row r="438" ht="14.25" customHeight="1">
      <c r="H438" s="1"/>
      <c r="I438" s="1"/>
      <c r="J438" s="1"/>
    </row>
    <row r="439" ht="14.25" customHeight="1">
      <c r="H439" s="1"/>
      <c r="I439" s="1"/>
      <c r="J439" s="1"/>
    </row>
    <row r="440" ht="14.25" customHeight="1">
      <c r="H440" s="1"/>
      <c r="I440" s="1"/>
      <c r="J440" s="1"/>
    </row>
    <row r="441" ht="14.25" customHeight="1">
      <c r="H441" s="1"/>
      <c r="I441" s="1"/>
      <c r="J441" s="1"/>
    </row>
    <row r="442" ht="14.25" customHeight="1">
      <c r="H442" s="1"/>
      <c r="I442" s="1"/>
      <c r="J442" s="1"/>
    </row>
    <row r="443" ht="14.25" customHeight="1">
      <c r="H443" s="1"/>
      <c r="I443" s="1"/>
      <c r="J443" s="1"/>
    </row>
    <row r="444" ht="14.25" customHeight="1">
      <c r="H444" s="1"/>
      <c r="I444" s="1"/>
      <c r="J444" s="1"/>
    </row>
    <row r="445" ht="14.25" customHeight="1">
      <c r="H445" s="1"/>
      <c r="I445" s="1"/>
      <c r="J445" s="1"/>
    </row>
    <row r="446" ht="14.25" customHeight="1">
      <c r="H446" s="1"/>
      <c r="I446" s="1"/>
      <c r="J446" s="1"/>
    </row>
    <row r="447" ht="14.25" customHeight="1">
      <c r="H447" s="1"/>
      <c r="I447" s="1"/>
      <c r="J447" s="1"/>
    </row>
    <row r="448" ht="14.25" customHeight="1">
      <c r="H448" s="1"/>
      <c r="I448" s="1"/>
      <c r="J448" s="1"/>
    </row>
    <row r="449" ht="14.25" customHeight="1">
      <c r="H449" s="1"/>
      <c r="I449" s="1"/>
      <c r="J449" s="1"/>
    </row>
    <row r="450" ht="14.25" customHeight="1">
      <c r="H450" s="1"/>
      <c r="I450" s="1"/>
      <c r="J450" s="1"/>
    </row>
    <row r="451" ht="14.25" customHeight="1">
      <c r="H451" s="1"/>
      <c r="I451" s="1"/>
      <c r="J451" s="1"/>
    </row>
    <row r="452" ht="14.25" customHeight="1">
      <c r="H452" s="1"/>
      <c r="I452" s="1"/>
      <c r="J452" s="1"/>
    </row>
    <row r="453" ht="14.25" customHeight="1">
      <c r="H453" s="1"/>
      <c r="I453" s="1"/>
      <c r="J453" s="1"/>
    </row>
    <row r="454" ht="14.25" customHeight="1">
      <c r="H454" s="1"/>
      <c r="I454" s="1"/>
      <c r="J454" s="1"/>
    </row>
    <row r="455" ht="14.25" customHeight="1">
      <c r="H455" s="1"/>
      <c r="I455" s="1"/>
      <c r="J455" s="1"/>
    </row>
    <row r="456" ht="14.25" customHeight="1">
      <c r="H456" s="1"/>
      <c r="I456" s="1"/>
      <c r="J456" s="1"/>
    </row>
    <row r="457" ht="14.25" customHeight="1">
      <c r="H457" s="1"/>
      <c r="I457" s="1"/>
      <c r="J457" s="1"/>
    </row>
    <row r="458" ht="14.25" customHeight="1">
      <c r="H458" s="1"/>
      <c r="I458" s="1"/>
      <c r="J458" s="1"/>
    </row>
    <row r="459" ht="14.25" customHeight="1">
      <c r="H459" s="1"/>
      <c r="I459" s="1"/>
      <c r="J459" s="1"/>
    </row>
    <row r="460" ht="14.25" customHeight="1">
      <c r="H460" s="1"/>
      <c r="I460" s="1"/>
      <c r="J460" s="1"/>
    </row>
    <row r="461" ht="14.25" customHeight="1">
      <c r="H461" s="1"/>
      <c r="I461" s="1"/>
      <c r="J461" s="1"/>
    </row>
    <row r="462" ht="14.25" customHeight="1">
      <c r="H462" s="1"/>
      <c r="I462" s="1"/>
      <c r="J462" s="1"/>
    </row>
    <row r="463" ht="14.25" customHeight="1">
      <c r="H463" s="1"/>
      <c r="I463" s="1"/>
      <c r="J463" s="1"/>
    </row>
    <row r="464" ht="14.25" customHeight="1">
      <c r="H464" s="1"/>
      <c r="I464" s="1"/>
      <c r="J464" s="1"/>
    </row>
    <row r="465" ht="14.25" customHeight="1">
      <c r="H465" s="1"/>
      <c r="I465" s="1"/>
      <c r="J465" s="1"/>
    </row>
    <row r="466" ht="14.25" customHeight="1">
      <c r="H466" s="1"/>
      <c r="I466" s="1"/>
      <c r="J466" s="1"/>
    </row>
    <row r="467" ht="14.25" customHeight="1">
      <c r="H467" s="1"/>
      <c r="I467" s="1"/>
      <c r="J467" s="1"/>
    </row>
    <row r="468" ht="14.25" customHeight="1">
      <c r="H468" s="1"/>
      <c r="I468" s="1"/>
      <c r="J468" s="1"/>
    </row>
    <row r="469" ht="14.25" customHeight="1">
      <c r="H469" s="1"/>
      <c r="I469" s="1"/>
      <c r="J469" s="1"/>
    </row>
    <row r="470" ht="14.25" customHeight="1">
      <c r="H470" s="1"/>
      <c r="I470" s="1"/>
      <c r="J470" s="1"/>
    </row>
    <row r="471" ht="14.25" customHeight="1">
      <c r="H471" s="1"/>
      <c r="I471" s="1"/>
      <c r="J471" s="1"/>
    </row>
    <row r="472" ht="14.25" customHeight="1">
      <c r="H472" s="1"/>
      <c r="I472" s="1"/>
      <c r="J472" s="1"/>
    </row>
    <row r="473" ht="14.25" customHeight="1">
      <c r="H473" s="1"/>
      <c r="I473" s="1"/>
      <c r="J473" s="1"/>
    </row>
    <row r="474" ht="14.25" customHeight="1">
      <c r="H474" s="1"/>
      <c r="I474" s="1"/>
      <c r="J474" s="1"/>
    </row>
    <row r="475" ht="14.25" customHeight="1">
      <c r="H475" s="1"/>
      <c r="I475" s="1"/>
      <c r="J475" s="1"/>
    </row>
    <row r="476" ht="14.25" customHeight="1">
      <c r="H476" s="1"/>
      <c r="I476" s="1"/>
      <c r="J476" s="1"/>
    </row>
    <row r="477" ht="14.25" customHeight="1">
      <c r="H477" s="1"/>
      <c r="I477" s="1"/>
      <c r="J477" s="1"/>
    </row>
    <row r="478" ht="14.25" customHeight="1">
      <c r="H478" s="1"/>
      <c r="I478" s="1"/>
      <c r="J478" s="1"/>
    </row>
    <row r="479" ht="14.25" customHeight="1">
      <c r="H479" s="1"/>
      <c r="I479" s="1"/>
      <c r="J479" s="1"/>
    </row>
    <row r="480" ht="14.25" customHeight="1">
      <c r="H480" s="1"/>
      <c r="I480" s="1"/>
      <c r="J480" s="1"/>
    </row>
    <row r="481" ht="14.25" customHeight="1">
      <c r="H481" s="1"/>
      <c r="I481" s="1"/>
      <c r="J481" s="1"/>
    </row>
    <row r="482" ht="14.25" customHeight="1">
      <c r="H482" s="1"/>
      <c r="I482" s="1"/>
      <c r="J482" s="1"/>
    </row>
    <row r="483" ht="14.25" customHeight="1">
      <c r="H483" s="1"/>
      <c r="I483" s="1"/>
      <c r="J483" s="1"/>
    </row>
    <row r="484" ht="14.25" customHeight="1">
      <c r="H484" s="1"/>
      <c r="I484" s="1"/>
      <c r="J484" s="1"/>
    </row>
    <row r="485" ht="14.25" customHeight="1">
      <c r="H485" s="1"/>
      <c r="I485" s="1"/>
      <c r="J485" s="1"/>
    </row>
    <row r="486" ht="14.25" customHeight="1">
      <c r="H486" s="1"/>
      <c r="I486" s="1"/>
      <c r="J486" s="1"/>
    </row>
    <row r="487" ht="14.25" customHeight="1">
      <c r="H487" s="1"/>
      <c r="I487" s="1"/>
      <c r="J487" s="1"/>
    </row>
    <row r="488" ht="14.25" customHeight="1">
      <c r="H488" s="1"/>
      <c r="I488" s="1"/>
      <c r="J488" s="1"/>
    </row>
    <row r="489" ht="14.25" customHeight="1">
      <c r="H489" s="1"/>
      <c r="I489" s="1"/>
      <c r="J489" s="1"/>
    </row>
    <row r="490" ht="14.25" customHeight="1">
      <c r="H490" s="1"/>
      <c r="I490" s="1"/>
      <c r="J490" s="1"/>
    </row>
    <row r="491" ht="14.25" customHeight="1">
      <c r="H491" s="1"/>
      <c r="I491" s="1"/>
      <c r="J491" s="1"/>
    </row>
    <row r="492" ht="14.25" customHeight="1">
      <c r="H492" s="1"/>
      <c r="I492" s="1"/>
      <c r="J492" s="1"/>
    </row>
    <row r="493" ht="14.25" customHeight="1">
      <c r="H493" s="1"/>
      <c r="I493" s="1"/>
      <c r="J493" s="1"/>
    </row>
    <row r="494" ht="14.25" customHeight="1">
      <c r="H494" s="1"/>
      <c r="I494" s="1"/>
      <c r="J494" s="1"/>
    </row>
    <row r="495" ht="14.25" customHeight="1">
      <c r="H495" s="1"/>
      <c r="I495" s="1"/>
      <c r="J495" s="1"/>
    </row>
    <row r="496" ht="14.25" customHeight="1">
      <c r="H496" s="1"/>
      <c r="I496" s="1"/>
      <c r="J496" s="1"/>
    </row>
    <row r="497" ht="14.25" customHeight="1">
      <c r="H497" s="1"/>
      <c r="I497" s="1"/>
      <c r="J497" s="1"/>
    </row>
    <row r="498" ht="14.25" customHeight="1">
      <c r="H498" s="1"/>
      <c r="I498" s="1"/>
      <c r="J498" s="1"/>
    </row>
    <row r="499" ht="14.25" customHeight="1">
      <c r="H499" s="1"/>
      <c r="I499" s="1"/>
      <c r="J499" s="1"/>
    </row>
    <row r="500" ht="14.25" customHeight="1">
      <c r="H500" s="1"/>
      <c r="I500" s="1"/>
      <c r="J500" s="1"/>
    </row>
    <row r="501" ht="14.25" customHeight="1">
      <c r="H501" s="1"/>
      <c r="I501" s="1"/>
      <c r="J501" s="1"/>
    </row>
    <row r="502" ht="14.25" customHeight="1">
      <c r="H502" s="1"/>
      <c r="I502" s="1"/>
      <c r="J502" s="1"/>
    </row>
    <row r="503" ht="14.25" customHeight="1">
      <c r="H503" s="1"/>
      <c r="I503" s="1"/>
      <c r="J503" s="1"/>
    </row>
    <row r="504" ht="14.25" customHeight="1">
      <c r="H504" s="1"/>
      <c r="I504" s="1"/>
      <c r="J504" s="1"/>
    </row>
    <row r="505" ht="14.25" customHeight="1">
      <c r="H505" s="1"/>
      <c r="I505" s="1"/>
      <c r="J505" s="1"/>
    </row>
    <row r="506" ht="14.25" customHeight="1">
      <c r="H506" s="1"/>
      <c r="I506" s="1"/>
      <c r="J506" s="1"/>
    </row>
    <row r="507" ht="14.25" customHeight="1">
      <c r="H507" s="1"/>
      <c r="I507" s="1"/>
      <c r="J507" s="1"/>
    </row>
    <row r="508" ht="14.25" customHeight="1">
      <c r="H508" s="1"/>
      <c r="I508" s="1"/>
      <c r="J508" s="1"/>
    </row>
    <row r="509" ht="14.25" customHeight="1">
      <c r="H509" s="1"/>
      <c r="I509" s="1"/>
      <c r="J509" s="1"/>
    </row>
    <row r="510" ht="14.25" customHeight="1">
      <c r="H510" s="1"/>
      <c r="I510" s="1"/>
      <c r="J510" s="1"/>
    </row>
    <row r="511" ht="14.25" customHeight="1">
      <c r="H511" s="1"/>
      <c r="I511" s="1"/>
      <c r="J511" s="1"/>
    </row>
    <row r="512" ht="14.25" customHeight="1">
      <c r="H512" s="1"/>
      <c r="I512" s="1"/>
      <c r="J512" s="1"/>
    </row>
    <row r="513" ht="14.25" customHeight="1">
      <c r="H513" s="1"/>
      <c r="I513" s="1"/>
      <c r="J513" s="1"/>
    </row>
    <row r="514" ht="14.25" customHeight="1">
      <c r="H514" s="1"/>
      <c r="I514" s="1"/>
      <c r="J514" s="1"/>
    </row>
    <row r="515" ht="14.25" customHeight="1">
      <c r="H515" s="1"/>
      <c r="I515" s="1"/>
      <c r="J515" s="1"/>
    </row>
    <row r="516" ht="14.25" customHeight="1">
      <c r="H516" s="1"/>
      <c r="I516" s="1"/>
      <c r="J516" s="1"/>
    </row>
    <row r="517" ht="14.25" customHeight="1">
      <c r="H517" s="1"/>
      <c r="I517" s="1"/>
      <c r="J517" s="1"/>
    </row>
    <row r="518" ht="14.25" customHeight="1">
      <c r="H518" s="1"/>
      <c r="I518" s="1"/>
      <c r="J518" s="1"/>
    </row>
    <row r="519" ht="14.25" customHeight="1">
      <c r="H519" s="1"/>
      <c r="I519" s="1"/>
      <c r="J519" s="1"/>
    </row>
    <row r="520" ht="14.25" customHeight="1">
      <c r="H520" s="1"/>
      <c r="I520" s="1"/>
      <c r="J520" s="1"/>
    </row>
    <row r="521" ht="14.25" customHeight="1">
      <c r="H521" s="1"/>
      <c r="I521" s="1"/>
      <c r="J521" s="1"/>
    </row>
    <row r="522" ht="14.25" customHeight="1">
      <c r="H522" s="1"/>
      <c r="I522" s="1"/>
      <c r="J522" s="1"/>
    </row>
    <row r="523" ht="14.25" customHeight="1">
      <c r="H523" s="1"/>
      <c r="I523" s="1"/>
      <c r="J523" s="1"/>
    </row>
    <row r="524" ht="14.25" customHeight="1">
      <c r="H524" s="1"/>
      <c r="I524" s="1"/>
      <c r="J524" s="1"/>
    </row>
    <row r="525" ht="14.25" customHeight="1">
      <c r="H525" s="1"/>
      <c r="I525" s="1"/>
      <c r="J525" s="1"/>
    </row>
    <row r="526" ht="14.25" customHeight="1">
      <c r="H526" s="1"/>
      <c r="I526" s="1"/>
      <c r="J526" s="1"/>
    </row>
    <row r="527" ht="14.25" customHeight="1">
      <c r="H527" s="1"/>
      <c r="I527" s="1"/>
      <c r="J527" s="1"/>
    </row>
    <row r="528" ht="14.25" customHeight="1">
      <c r="H528" s="1"/>
      <c r="I528" s="1"/>
      <c r="J528" s="1"/>
    </row>
    <row r="529" ht="14.25" customHeight="1">
      <c r="H529" s="1"/>
      <c r="I529" s="1"/>
      <c r="J529" s="1"/>
    </row>
    <row r="530" ht="14.25" customHeight="1">
      <c r="H530" s="1"/>
      <c r="I530" s="1"/>
      <c r="J530" s="1"/>
    </row>
    <row r="531" ht="14.25" customHeight="1">
      <c r="H531" s="1"/>
      <c r="I531" s="1"/>
      <c r="J531" s="1"/>
    </row>
    <row r="532" ht="14.25" customHeight="1">
      <c r="H532" s="1"/>
      <c r="I532" s="1"/>
      <c r="J532" s="1"/>
    </row>
    <row r="533" ht="14.25" customHeight="1">
      <c r="H533" s="1"/>
      <c r="I533" s="1"/>
      <c r="J533" s="1"/>
    </row>
    <row r="534" ht="14.25" customHeight="1">
      <c r="H534" s="1"/>
      <c r="I534" s="1"/>
      <c r="J534" s="1"/>
    </row>
    <row r="535" ht="14.25" customHeight="1">
      <c r="H535" s="1"/>
      <c r="I535" s="1"/>
      <c r="J535" s="1"/>
    </row>
    <row r="536" ht="14.25" customHeight="1">
      <c r="H536" s="1"/>
      <c r="I536" s="1"/>
      <c r="J536" s="1"/>
    </row>
    <row r="537" ht="14.25" customHeight="1">
      <c r="H537" s="1"/>
      <c r="I537" s="1"/>
      <c r="J537" s="1"/>
    </row>
    <row r="538" ht="14.25" customHeight="1">
      <c r="H538" s="1"/>
      <c r="I538" s="1"/>
      <c r="J538" s="1"/>
    </row>
    <row r="539" ht="14.25" customHeight="1">
      <c r="H539" s="1"/>
      <c r="I539" s="1"/>
      <c r="J539" s="1"/>
    </row>
    <row r="540" ht="14.25" customHeight="1">
      <c r="H540" s="1"/>
      <c r="I540" s="1"/>
      <c r="J540" s="1"/>
    </row>
    <row r="541" ht="14.25" customHeight="1">
      <c r="H541" s="1"/>
      <c r="I541" s="1"/>
      <c r="J541" s="1"/>
    </row>
    <row r="542" ht="14.25" customHeight="1">
      <c r="H542" s="1"/>
      <c r="I542" s="1"/>
      <c r="J542" s="1"/>
    </row>
    <row r="543" ht="14.25" customHeight="1">
      <c r="H543" s="1"/>
      <c r="I543" s="1"/>
      <c r="J543" s="1"/>
    </row>
    <row r="544" ht="14.25" customHeight="1">
      <c r="H544" s="1"/>
      <c r="I544" s="1"/>
      <c r="J544" s="1"/>
    </row>
    <row r="545" ht="14.25" customHeight="1">
      <c r="H545" s="1"/>
      <c r="I545" s="1"/>
      <c r="J545" s="1"/>
    </row>
    <row r="546" ht="14.25" customHeight="1">
      <c r="H546" s="1"/>
      <c r="I546" s="1"/>
      <c r="J546" s="1"/>
    </row>
    <row r="547" ht="14.25" customHeight="1">
      <c r="H547" s="1"/>
      <c r="I547" s="1"/>
      <c r="J547" s="1"/>
    </row>
    <row r="548" ht="14.25" customHeight="1">
      <c r="H548" s="1"/>
      <c r="I548" s="1"/>
      <c r="J548" s="1"/>
    </row>
    <row r="549" ht="14.25" customHeight="1">
      <c r="H549" s="1"/>
      <c r="I549" s="1"/>
      <c r="J549" s="1"/>
    </row>
    <row r="550" ht="14.25" customHeight="1">
      <c r="H550" s="1"/>
      <c r="I550" s="1"/>
      <c r="J550" s="1"/>
    </row>
    <row r="551" ht="14.25" customHeight="1">
      <c r="H551" s="1"/>
      <c r="I551" s="1"/>
      <c r="J551" s="1"/>
    </row>
    <row r="552" ht="14.25" customHeight="1">
      <c r="H552" s="1"/>
      <c r="I552" s="1"/>
      <c r="J552" s="1"/>
    </row>
    <row r="553" ht="14.25" customHeight="1">
      <c r="H553" s="1"/>
      <c r="I553" s="1"/>
      <c r="J553" s="1"/>
    </row>
    <row r="554" ht="14.25" customHeight="1">
      <c r="H554" s="1"/>
      <c r="I554" s="1"/>
      <c r="J554" s="1"/>
    </row>
    <row r="555" ht="14.25" customHeight="1">
      <c r="H555" s="1"/>
      <c r="I555" s="1"/>
      <c r="J555" s="1"/>
    </row>
    <row r="556" ht="14.25" customHeight="1">
      <c r="H556" s="1"/>
      <c r="I556" s="1"/>
      <c r="J556" s="1"/>
    </row>
    <row r="557" ht="14.25" customHeight="1">
      <c r="H557" s="1"/>
      <c r="I557" s="1"/>
      <c r="J557" s="1"/>
    </row>
    <row r="558" ht="14.25" customHeight="1">
      <c r="H558" s="1"/>
      <c r="I558" s="1"/>
      <c r="J558" s="1"/>
    </row>
    <row r="559" ht="14.25" customHeight="1">
      <c r="H559" s="1"/>
      <c r="I559" s="1"/>
      <c r="J559" s="1"/>
    </row>
    <row r="560" ht="14.25" customHeight="1">
      <c r="H560" s="1"/>
      <c r="I560" s="1"/>
      <c r="J560" s="1"/>
    </row>
    <row r="561" ht="14.25" customHeight="1">
      <c r="H561" s="1"/>
      <c r="I561" s="1"/>
      <c r="J561" s="1"/>
    </row>
    <row r="562" ht="14.25" customHeight="1">
      <c r="H562" s="1"/>
      <c r="I562" s="1"/>
      <c r="J562" s="1"/>
    </row>
    <row r="563" ht="14.25" customHeight="1">
      <c r="H563" s="1"/>
      <c r="I563" s="1"/>
      <c r="J563" s="1"/>
    </row>
    <row r="564" ht="14.25" customHeight="1">
      <c r="H564" s="1"/>
      <c r="I564" s="1"/>
      <c r="J564" s="1"/>
    </row>
    <row r="565" ht="14.25" customHeight="1">
      <c r="H565" s="1"/>
      <c r="I565" s="1"/>
      <c r="J565" s="1"/>
    </row>
    <row r="566" ht="14.25" customHeight="1">
      <c r="H566" s="1"/>
      <c r="I566" s="1"/>
      <c r="J566" s="1"/>
    </row>
    <row r="567" ht="14.25" customHeight="1">
      <c r="H567" s="1"/>
      <c r="I567" s="1"/>
      <c r="J567" s="1"/>
    </row>
    <row r="568" ht="14.25" customHeight="1">
      <c r="H568" s="1"/>
      <c r="I568" s="1"/>
      <c r="J568" s="1"/>
    </row>
    <row r="569" ht="14.25" customHeight="1">
      <c r="H569" s="1"/>
      <c r="I569" s="1"/>
      <c r="J569" s="1"/>
    </row>
    <row r="570" ht="14.25" customHeight="1">
      <c r="H570" s="1"/>
      <c r="I570" s="1"/>
      <c r="J570" s="1"/>
    </row>
    <row r="571" ht="14.25" customHeight="1">
      <c r="H571" s="1"/>
      <c r="I571" s="1"/>
      <c r="J571" s="1"/>
    </row>
    <row r="572" ht="14.25" customHeight="1">
      <c r="H572" s="1"/>
      <c r="I572" s="1"/>
      <c r="J572" s="1"/>
    </row>
    <row r="573" ht="14.25" customHeight="1">
      <c r="H573" s="1"/>
      <c r="I573" s="1"/>
      <c r="J573" s="1"/>
    </row>
    <row r="574" ht="14.25" customHeight="1">
      <c r="H574" s="1"/>
      <c r="I574" s="1"/>
      <c r="J574" s="1"/>
    </row>
    <row r="575" ht="14.25" customHeight="1">
      <c r="H575" s="1"/>
      <c r="I575" s="1"/>
      <c r="J575" s="1"/>
    </row>
    <row r="576" ht="14.25" customHeight="1">
      <c r="H576" s="1"/>
      <c r="I576" s="1"/>
      <c r="J576" s="1"/>
    </row>
    <row r="577" ht="14.25" customHeight="1">
      <c r="H577" s="1"/>
      <c r="I577" s="1"/>
      <c r="J577" s="1"/>
    </row>
    <row r="578" ht="14.25" customHeight="1">
      <c r="H578" s="1"/>
      <c r="I578" s="1"/>
      <c r="J578" s="1"/>
    </row>
    <row r="579" ht="14.25" customHeight="1">
      <c r="H579" s="1"/>
      <c r="I579" s="1"/>
      <c r="J579" s="1"/>
    </row>
    <row r="580" ht="14.25" customHeight="1">
      <c r="H580" s="1"/>
      <c r="I580" s="1"/>
      <c r="J580" s="1"/>
    </row>
    <row r="581" ht="14.25" customHeight="1">
      <c r="H581" s="1"/>
      <c r="I581" s="1"/>
      <c r="J581" s="1"/>
    </row>
    <row r="582" ht="14.25" customHeight="1">
      <c r="H582" s="1"/>
      <c r="I582" s="1"/>
      <c r="J582" s="1"/>
    </row>
    <row r="583" ht="14.25" customHeight="1">
      <c r="H583" s="1"/>
      <c r="I583" s="1"/>
      <c r="J583" s="1"/>
    </row>
    <row r="584" ht="14.25" customHeight="1">
      <c r="H584" s="1"/>
      <c r="I584" s="1"/>
      <c r="J584" s="1"/>
    </row>
    <row r="585" ht="14.25" customHeight="1">
      <c r="H585" s="1"/>
      <c r="I585" s="1"/>
      <c r="J585" s="1"/>
    </row>
    <row r="586" ht="14.25" customHeight="1">
      <c r="H586" s="1"/>
      <c r="I586" s="1"/>
      <c r="J586" s="1"/>
    </row>
    <row r="587" ht="14.25" customHeight="1">
      <c r="H587" s="1"/>
      <c r="I587" s="1"/>
      <c r="J587" s="1"/>
    </row>
    <row r="588" ht="14.25" customHeight="1">
      <c r="H588" s="1"/>
      <c r="I588" s="1"/>
      <c r="J588" s="1"/>
    </row>
    <row r="589" ht="14.25" customHeight="1">
      <c r="H589" s="1"/>
      <c r="I589" s="1"/>
      <c r="J589" s="1"/>
    </row>
    <row r="590" ht="14.25" customHeight="1">
      <c r="H590" s="1"/>
      <c r="I590" s="1"/>
      <c r="J590" s="1"/>
    </row>
    <row r="591" ht="14.25" customHeight="1">
      <c r="H591" s="1"/>
      <c r="I591" s="1"/>
      <c r="J591" s="1"/>
    </row>
    <row r="592" ht="14.25" customHeight="1">
      <c r="H592" s="1"/>
      <c r="I592" s="1"/>
      <c r="J592" s="1"/>
    </row>
    <row r="593" ht="14.25" customHeight="1">
      <c r="H593" s="1"/>
      <c r="I593" s="1"/>
      <c r="J593" s="1"/>
    </row>
    <row r="594" ht="14.25" customHeight="1">
      <c r="H594" s="1"/>
      <c r="I594" s="1"/>
      <c r="J594" s="1"/>
    </row>
    <row r="595" ht="14.25" customHeight="1">
      <c r="H595" s="1"/>
      <c r="I595" s="1"/>
      <c r="J595" s="1"/>
    </row>
    <row r="596" ht="14.25" customHeight="1">
      <c r="H596" s="1"/>
      <c r="I596" s="1"/>
      <c r="J596" s="1"/>
    </row>
    <row r="597" ht="14.25" customHeight="1">
      <c r="H597" s="1"/>
      <c r="I597" s="1"/>
      <c r="J597" s="1"/>
    </row>
    <row r="598" ht="14.25" customHeight="1">
      <c r="H598" s="1"/>
      <c r="I598" s="1"/>
      <c r="J598" s="1"/>
    </row>
    <row r="599" ht="14.25" customHeight="1">
      <c r="H599" s="1"/>
      <c r="I599" s="1"/>
      <c r="J599" s="1"/>
    </row>
    <row r="600" ht="14.25" customHeight="1">
      <c r="H600" s="1"/>
      <c r="I600" s="1"/>
      <c r="J600" s="1"/>
    </row>
    <row r="601" ht="14.25" customHeight="1">
      <c r="H601" s="1"/>
      <c r="I601" s="1"/>
      <c r="J601" s="1"/>
    </row>
    <row r="602" ht="14.25" customHeight="1">
      <c r="H602" s="1"/>
      <c r="I602" s="1"/>
      <c r="J602" s="1"/>
    </row>
    <row r="603" ht="14.25" customHeight="1">
      <c r="H603" s="1"/>
      <c r="I603" s="1"/>
      <c r="J603" s="1"/>
    </row>
    <row r="604" ht="14.25" customHeight="1">
      <c r="H604" s="1"/>
      <c r="I604" s="1"/>
      <c r="J604" s="1"/>
    </row>
    <row r="605" ht="14.25" customHeight="1">
      <c r="H605" s="1"/>
      <c r="I605" s="1"/>
      <c r="J605" s="1"/>
    </row>
    <row r="606" ht="14.25" customHeight="1">
      <c r="H606" s="1"/>
      <c r="I606" s="1"/>
      <c r="J606" s="1"/>
    </row>
    <row r="607" ht="14.25" customHeight="1">
      <c r="H607" s="1"/>
      <c r="I607" s="1"/>
      <c r="J607" s="1"/>
    </row>
    <row r="608" ht="14.25" customHeight="1">
      <c r="H608" s="1"/>
      <c r="I608" s="1"/>
      <c r="J608" s="1"/>
    </row>
    <row r="609" ht="14.25" customHeight="1">
      <c r="H609" s="1"/>
      <c r="I609" s="1"/>
      <c r="J609" s="1"/>
    </row>
    <row r="610" ht="14.25" customHeight="1">
      <c r="H610" s="1"/>
      <c r="I610" s="1"/>
      <c r="J610" s="1"/>
    </row>
    <row r="611" ht="14.25" customHeight="1">
      <c r="H611" s="1"/>
      <c r="I611" s="1"/>
      <c r="J611" s="1"/>
    </row>
    <row r="612" ht="14.25" customHeight="1">
      <c r="H612" s="1"/>
      <c r="I612" s="1"/>
      <c r="J612" s="1"/>
    </row>
    <row r="613" ht="14.25" customHeight="1">
      <c r="H613" s="1"/>
      <c r="I613" s="1"/>
      <c r="J613" s="1"/>
    </row>
    <row r="614" ht="14.25" customHeight="1">
      <c r="H614" s="1"/>
      <c r="I614" s="1"/>
      <c r="J614" s="1"/>
    </row>
    <row r="615" ht="14.25" customHeight="1">
      <c r="H615" s="1"/>
      <c r="I615" s="1"/>
      <c r="J615" s="1"/>
    </row>
    <row r="616" ht="14.25" customHeight="1">
      <c r="H616" s="1"/>
      <c r="I616" s="1"/>
      <c r="J616" s="1"/>
    </row>
    <row r="617" ht="14.25" customHeight="1">
      <c r="H617" s="1"/>
      <c r="I617" s="1"/>
      <c r="J617" s="1"/>
    </row>
    <row r="618" ht="14.25" customHeight="1">
      <c r="H618" s="1"/>
      <c r="I618" s="1"/>
      <c r="J618" s="1"/>
    </row>
    <row r="619" ht="14.25" customHeight="1">
      <c r="H619" s="1"/>
      <c r="I619" s="1"/>
      <c r="J619" s="1"/>
    </row>
    <row r="620" ht="14.25" customHeight="1">
      <c r="H620" s="1"/>
      <c r="I620" s="1"/>
      <c r="J620" s="1"/>
    </row>
    <row r="621" ht="14.25" customHeight="1">
      <c r="H621" s="1"/>
      <c r="I621" s="1"/>
      <c r="J621" s="1"/>
    </row>
    <row r="622" ht="14.25" customHeight="1">
      <c r="H622" s="1"/>
      <c r="I622" s="1"/>
      <c r="J622" s="1"/>
    </row>
    <row r="623" ht="14.25" customHeight="1">
      <c r="H623" s="1"/>
      <c r="I623" s="1"/>
      <c r="J623" s="1"/>
    </row>
    <row r="624" ht="14.25" customHeight="1">
      <c r="H624" s="1"/>
      <c r="I624" s="1"/>
      <c r="J624" s="1"/>
    </row>
    <row r="625" ht="14.25" customHeight="1">
      <c r="H625" s="1"/>
      <c r="I625" s="1"/>
      <c r="J625" s="1"/>
    </row>
    <row r="626" ht="14.25" customHeight="1">
      <c r="H626" s="1"/>
      <c r="I626" s="1"/>
      <c r="J626" s="1"/>
    </row>
    <row r="627" ht="14.25" customHeight="1">
      <c r="H627" s="1"/>
      <c r="I627" s="1"/>
      <c r="J627" s="1"/>
    </row>
    <row r="628" ht="14.25" customHeight="1">
      <c r="H628" s="1"/>
      <c r="I628" s="1"/>
      <c r="J628" s="1"/>
    </row>
    <row r="629" ht="14.25" customHeight="1">
      <c r="H629" s="1"/>
      <c r="I629" s="1"/>
      <c r="J629" s="1"/>
    </row>
    <row r="630" ht="14.25" customHeight="1">
      <c r="H630" s="1"/>
      <c r="I630" s="1"/>
      <c r="J630" s="1"/>
    </row>
    <row r="631" ht="14.25" customHeight="1">
      <c r="H631" s="1"/>
      <c r="I631" s="1"/>
      <c r="J631" s="1"/>
    </row>
    <row r="632" ht="14.25" customHeight="1">
      <c r="H632" s="1"/>
      <c r="I632" s="1"/>
      <c r="J632" s="1"/>
    </row>
    <row r="633" ht="14.25" customHeight="1">
      <c r="H633" s="1"/>
      <c r="I633" s="1"/>
      <c r="J633" s="1"/>
    </row>
    <row r="634" ht="14.25" customHeight="1">
      <c r="H634" s="1"/>
      <c r="I634" s="1"/>
      <c r="J634" s="1"/>
    </row>
    <row r="635" ht="14.25" customHeight="1">
      <c r="H635" s="1"/>
      <c r="I635" s="1"/>
      <c r="J635" s="1"/>
    </row>
    <row r="636" ht="14.25" customHeight="1">
      <c r="H636" s="1"/>
      <c r="I636" s="1"/>
      <c r="J636" s="1"/>
    </row>
    <row r="637" ht="14.25" customHeight="1">
      <c r="H637" s="1"/>
      <c r="I637" s="1"/>
      <c r="J637" s="1"/>
    </row>
    <row r="638" ht="14.25" customHeight="1">
      <c r="H638" s="1"/>
      <c r="I638" s="1"/>
      <c r="J638" s="1"/>
    </row>
    <row r="639" ht="14.25" customHeight="1">
      <c r="H639" s="1"/>
      <c r="I639" s="1"/>
      <c r="J639" s="1"/>
    </row>
    <row r="640" ht="14.25" customHeight="1">
      <c r="H640" s="1"/>
      <c r="I640" s="1"/>
      <c r="J640" s="1"/>
    </row>
    <row r="641" ht="14.25" customHeight="1">
      <c r="H641" s="1"/>
      <c r="I641" s="1"/>
      <c r="J641" s="1"/>
    </row>
    <row r="642" ht="14.25" customHeight="1">
      <c r="H642" s="1"/>
      <c r="I642" s="1"/>
      <c r="J642" s="1"/>
    </row>
    <row r="643" ht="14.25" customHeight="1">
      <c r="H643" s="1"/>
      <c r="I643" s="1"/>
      <c r="J643" s="1"/>
    </row>
    <row r="644" ht="14.25" customHeight="1">
      <c r="H644" s="1"/>
      <c r="I644" s="1"/>
      <c r="J644" s="1"/>
    </row>
    <row r="645" ht="14.25" customHeight="1">
      <c r="H645" s="1"/>
      <c r="I645" s="1"/>
      <c r="J645" s="1"/>
    </row>
    <row r="646" ht="14.25" customHeight="1">
      <c r="H646" s="1"/>
      <c r="I646" s="1"/>
      <c r="J646" s="1"/>
    </row>
    <row r="647" ht="14.25" customHeight="1">
      <c r="H647" s="1"/>
      <c r="I647" s="1"/>
      <c r="J647" s="1"/>
    </row>
    <row r="648" ht="14.25" customHeight="1">
      <c r="H648" s="1"/>
      <c r="I648" s="1"/>
      <c r="J648" s="1"/>
    </row>
    <row r="649" ht="14.25" customHeight="1">
      <c r="H649" s="1"/>
      <c r="I649" s="1"/>
      <c r="J649" s="1"/>
    </row>
    <row r="650" ht="14.25" customHeight="1">
      <c r="H650" s="1"/>
      <c r="I650" s="1"/>
      <c r="J650" s="1"/>
    </row>
    <row r="651" ht="14.25" customHeight="1">
      <c r="H651" s="1"/>
      <c r="I651" s="1"/>
      <c r="J651" s="1"/>
    </row>
    <row r="652" ht="14.25" customHeight="1">
      <c r="H652" s="1"/>
      <c r="I652" s="1"/>
      <c r="J652" s="1"/>
    </row>
    <row r="653" ht="14.25" customHeight="1">
      <c r="H653" s="1"/>
      <c r="I653" s="1"/>
      <c r="J653" s="1"/>
    </row>
    <row r="654" ht="14.25" customHeight="1">
      <c r="H654" s="1"/>
      <c r="I654" s="1"/>
      <c r="J654" s="1"/>
    </row>
    <row r="655" ht="14.25" customHeight="1">
      <c r="H655" s="1"/>
      <c r="I655" s="1"/>
      <c r="J655" s="1"/>
    </row>
    <row r="656" ht="14.25" customHeight="1">
      <c r="H656" s="1"/>
      <c r="I656" s="1"/>
      <c r="J656" s="1"/>
    </row>
    <row r="657" ht="14.25" customHeight="1">
      <c r="H657" s="1"/>
      <c r="I657" s="1"/>
      <c r="J657" s="1"/>
    </row>
    <row r="658" ht="14.25" customHeight="1">
      <c r="H658" s="1"/>
      <c r="I658" s="1"/>
      <c r="J658" s="1"/>
    </row>
    <row r="659" ht="14.25" customHeight="1">
      <c r="H659" s="1"/>
      <c r="I659" s="1"/>
      <c r="J659" s="1"/>
    </row>
    <row r="660" ht="14.25" customHeight="1">
      <c r="H660" s="1"/>
      <c r="I660" s="1"/>
      <c r="J660" s="1"/>
    </row>
    <row r="661" ht="14.25" customHeight="1">
      <c r="H661" s="1"/>
      <c r="I661" s="1"/>
      <c r="J661" s="1"/>
    </row>
    <row r="662" ht="14.25" customHeight="1">
      <c r="H662" s="1"/>
      <c r="I662" s="1"/>
      <c r="J662" s="1"/>
    </row>
    <row r="663" ht="14.25" customHeight="1">
      <c r="H663" s="1"/>
      <c r="I663" s="1"/>
      <c r="J663" s="1"/>
    </row>
    <row r="664" ht="14.25" customHeight="1">
      <c r="H664" s="1"/>
      <c r="I664" s="1"/>
      <c r="J664" s="1"/>
    </row>
    <row r="665" ht="14.25" customHeight="1">
      <c r="H665" s="1"/>
      <c r="I665" s="1"/>
      <c r="J665" s="1"/>
    </row>
    <row r="666" ht="14.25" customHeight="1">
      <c r="H666" s="1"/>
      <c r="I666" s="1"/>
      <c r="J666" s="1"/>
    </row>
    <row r="667" ht="14.25" customHeight="1">
      <c r="H667" s="1"/>
      <c r="I667" s="1"/>
      <c r="J667" s="1"/>
    </row>
    <row r="668" ht="14.25" customHeight="1">
      <c r="H668" s="1"/>
      <c r="I668" s="1"/>
      <c r="J668" s="1"/>
    </row>
    <row r="669" ht="14.25" customHeight="1">
      <c r="H669" s="1"/>
      <c r="I669" s="1"/>
      <c r="J669" s="1"/>
    </row>
    <row r="670" ht="14.25" customHeight="1">
      <c r="H670" s="1"/>
      <c r="I670" s="1"/>
      <c r="J670" s="1"/>
    </row>
    <row r="671" ht="14.25" customHeight="1">
      <c r="H671" s="1"/>
      <c r="I671" s="1"/>
      <c r="J671" s="1"/>
    </row>
    <row r="672" ht="14.25" customHeight="1">
      <c r="H672" s="1"/>
      <c r="I672" s="1"/>
      <c r="J672" s="1"/>
    </row>
    <row r="673" ht="14.25" customHeight="1">
      <c r="H673" s="1"/>
      <c r="I673" s="1"/>
      <c r="J673" s="1"/>
    </row>
    <row r="674" ht="14.25" customHeight="1">
      <c r="H674" s="1"/>
      <c r="I674" s="1"/>
      <c r="J674" s="1"/>
    </row>
    <row r="675" ht="14.25" customHeight="1">
      <c r="H675" s="1"/>
      <c r="I675" s="1"/>
      <c r="J675" s="1"/>
    </row>
    <row r="676" ht="14.25" customHeight="1">
      <c r="H676" s="1"/>
      <c r="I676" s="1"/>
      <c r="J676" s="1"/>
    </row>
    <row r="677" ht="14.25" customHeight="1">
      <c r="H677" s="1"/>
      <c r="I677" s="1"/>
      <c r="J677" s="1"/>
    </row>
    <row r="678" ht="14.25" customHeight="1">
      <c r="H678" s="1"/>
      <c r="I678" s="1"/>
      <c r="J678" s="1"/>
    </row>
    <row r="679" ht="14.25" customHeight="1">
      <c r="H679" s="1"/>
      <c r="I679" s="1"/>
      <c r="J679" s="1"/>
    </row>
    <row r="680" ht="14.25" customHeight="1">
      <c r="H680" s="1"/>
      <c r="I680" s="1"/>
      <c r="J680" s="1"/>
    </row>
    <row r="681" ht="14.25" customHeight="1">
      <c r="H681" s="1"/>
      <c r="I681" s="1"/>
      <c r="J681" s="1"/>
    </row>
    <row r="682" ht="14.25" customHeight="1">
      <c r="H682" s="1"/>
      <c r="I682" s="1"/>
      <c r="J682" s="1"/>
    </row>
    <row r="683" ht="14.25" customHeight="1">
      <c r="H683" s="1"/>
      <c r="I683" s="1"/>
      <c r="J683" s="1"/>
    </row>
    <row r="684" ht="14.25" customHeight="1">
      <c r="H684" s="1"/>
      <c r="I684" s="1"/>
      <c r="J684" s="1"/>
    </row>
    <row r="685" ht="14.25" customHeight="1">
      <c r="H685" s="1"/>
      <c r="I685" s="1"/>
      <c r="J685" s="1"/>
    </row>
    <row r="686" ht="14.25" customHeight="1">
      <c r="H686" s="1"/>
      <c r="I686" s="1"/>
      <c r="J686" s="1"/>
    </row>
    <row r="687" ht="14.25" customHeight="1">
      <c r="H687" s="1"/>
      <c r="I687" s="1"/>
      <c r="J687" s="1"/>
    </row>
    <row r="688" ht="14.25" customHeight="1">
      <c r="H688" s="1"/>
      <c r="I688" s="1"/>
      <c r="J688" s="1"/>
    </row>
    <row r="689" ht="14.25" customHeight="1">
      <c r="H689" s="1"/>
      <c r="I689" s="1"/>
      <c r="J689" s="1"/>
    </row>
    <row r="690" ht="14.25" customHeight="1">
      <c r="H690" s="1"/>
      <c r="I690" s="1"/>
      <c r="J690" s="1"/>
    </row>
    <row r="691" ht="14.25" customHeight="1">
      <c r="H691" s="1"/>
      <c r="I691" s="1"/>
      <c r="J691" s="1"/>
    </row>
    <row r="692" ht="14.25" customHeight="1">
      <c r="H692" s="1"/>
      <c r="I692" s="1"/>
      <c r="J692" s="1"/>
    </row>
    <row r="693" ht="14.25" customHeight="1">
      <c r="H693" s="1"/>
      <c r="I693" s="1"/>
      <c r="J693" s="1"/>
    </row>
    <row r="694" ht="14.25" customHeight="1">
      <c r="H694" s="1"/>
      <c r="I694" s="1"/>
      <c r="J694" s="1"/>
    </row>
    <row r="695" ht="14.25" customHeight="1">
      <c r="H695" s="1"/>
      <c r="I695" s="1"/>
      <c r="J695" s="1"/>
    </row>
    <row r="696" ht="14.25" customHeight="1">
      <c r="H696" s="1"/>
      <c r="I696" s="1"/>
      <c r="J696" s="1"/>
    </row>
    <row r="697" ht="14.25" customHeight="1">
      <c r="H697" s="1"/>
      <c r="I697" s="1"/>
      <c r="J697" s="1"/>
    </row>
    <row r="698" ht="14.25" customHeight="1">
      <c r="H698" s="1"/>
      <c r="I698" s="1"/>
      <c r="J698" s="1"/>
    </row>
    <row r="699" ht="14.25" customHeight="1">
      <c r="H699" s="1"/>
      <c r="I699" s="1"/>
      <c r="J699" s="1"/>
    </row>
    <row r="700" ht="14.25" customHeight="1">
      <c r="H700" s="1"/>
      <c r="I700" s="1"/>
      <c r="J700" s="1"/>
    </row>
    <row r="701" ht="14.25" customHeight="1">
      <c r="H701" s="1"/>
      <c r="I701" s="1"/>
      <c r="J701" s="1"/>
    </row>
    <row r="702" ht="14.25" customHeight="1">
      <c r="H702" s="1"/>
      <c r="I702" s="1"/>
      <c r="J702" s="1"/>
    </row>
    <row r="703" ht="14.25" customHeight="1">
      <c r="H703" s="1"/>
      <c r="I703" s="1"/>
      <c r="J703" s="1"/>
    </row>
    <row r="704" ht="14.25" customHeight="1">
      <c r="H704" s="1"/>
      <c r="I704" s="1"/>
      <c r="J704" s="1"/>
    </row>
    <row r="705" ht="14.25" customHeight="1">
      <c r="H705" s="1"/>
      <c r="I705" s="1"/>
      <c r="J705" s="1"/>
    </row>
    <row r="706" ht="14.25" customHeight="1">
      <c r="H706" s="1"/>
      <c r="I706" s="1"/>
      <c r="J706" s="1"/>
    </row>
    <row r="707" ht="14.25" customHeight="1">
      <c r="H707" s="1"/>
      <c r="I707" s="1"/>
      <c r="J707" s="1"/>
    </row>
    <row r="708" ht="14.25" customHeight="1">
      <c r="H708" s="1"/>
      <c r="I708" s="1"/>
      <c r="J708" s="1"/>
    </row>
    <row r="709" ht="14.25" customHeight="1">
      <c r="H709" s="1"/>
      <c r="I709" s="1"/>
      <c r="J709" s="1"/>
    </row>
    <row r="710" ht="14.25" customHeight="1">
      <c r="H710" s="1"/>
      <c r="I710" s="1"/>
      <c r="J710" s="1"/>
    </row>
    <row r="711" ht="14.25" customHeight="1">
      <c r="H711" s="1"/>
      <c r="I711" s="1"/>
      <c r="J711" s="1"/>
    </row>
    <row r="712" ht="14.25" customHeight="1">
      <c r="H712" s="1"/>
      <c r="I712" s="1"/>
      <c r="J712" s="1"/>
    </row>
    <row r="713" ht="14.25" customHeight="1">
      <c r="H713" s="1"/>
      <c r="I713" s="1"/>
      <c r="J713" s="1"/>
    </row>
    <row r="714" ht="14.25" customHeight="1">
      <c r="H714" s="1"/>
      <c r="I714" s="1"/>
      <c r="J714" s="1"/>
    </row>
    <row r="715" ht="14.25" customHeight="1">
      <c r="H715" s="1"/>
      <c r="I715" s="1"/>
      <c r="J715" s="1"/>
    </row>
    <row r="716" ht="14.25" customHeight="1">
      <c r="H716" s="1"/>
      <c r="I716" s="1"/>
      <c r="J716" s="1"/>
    </row>
    <row r="717" ht="14.25" customHeight="1">
      <c r="H717" s="1"/>
      <c r="I717" s="1"/>
      <c r="J717" s="1"/>
    </row>
    <row r="718" ht="14.25" customHeight="1">
      <c r="H718" s="1"/>
      <c r="I718" s="1"/>
      <c r="J718" s="1"/>
    </row>
    <row r="719" ht="14.25" customHeight="1">
      <c r="H719" s="1"/>
      <c r="I719" s="1"/>
      <c r="J719" s="1"/>
    </row>
    <row r="720" ht="14.25" customHeight="1">
      <c r="H720" s="1"/>
      <c r="I720" s="1"/>
      <c r="J720" s="1"/>
    </row>
    <row r="721" ht="14.25" customHeight="1">
      <c r="H721" s="1"/>
      <c r="I721" s="1"/>
      <c r="J721" s="1"/>
    </row>
    <row r="722" ht="14.25" customHeight="1">
      <c r="H722" s="1"/>
      <c r="I722" s="1"/>
      <c r="J722" s="1"/>
    </row>
    <row r="723" ht="14.25" customHeight="1">
      <c r="H723" s="1"/>
      <c r="I723" s="1"/>
      <c r="J723" s="1"/>
    </row>
    <row r="724" ht="14.25" customHeight="1">
      <c r="H724" s="1"/>
      <c r="I724" s="1"/>
      <c r="J724" s="1"/>
    </row>
    <row r="725" ht="14.25" customHeight="1">
      <c r="H725" s="1"/>
      <c r="I725" s="1"/>
      <c r="J725" s="1"/>
    </row>
    <row r="726" ht="14.25" customHeight="1">
      <c r="H726" s="1"/>
      <c r="I726" s="1"/>
      <c r="J726" s="1"/>
    </row>
    <row r="727" ht="14.25" customHeight="1">
      <c r="H727" s="1"/>
      <c r="I727" s="1"/>
      <c r="J727" s="1"/>
    </row>
    <row r="728" ht="14.25" customHeight="1">
      <c r="H728" s="1"/>
      <c r="I728" s="1"/>
      <c r="J728" s="1"/>
    </row>
    <row r="729" ht="14.25" customHeight="1">
      <c r="H729" s="1"/>
      <c r="I729" s="1"/>
      <c r="J729" s="1"/>
    </row>
    <row r="730" ht="14.25" customHeight="1">
      <c r="H730" s="1"/>
      <c r="I730" s="1"/>
      <c r="J730" s="1"/>
    </row>
    <row r="731" ht="14.25" customHeight="1">
      <c r="H731" s="1"/>
      <c r="I731" s="1"/>
      <c r="J731" s="1"/>
    </row>
    <row r="732" ht="14.25" customHeight="1">
      <c r="H732" s="1"/>
      <c r="I732" s="1"/>
      <c r="J732" s="1"/>
    </row>
    <row r="733" ht="14.25" customHeight="1">
      <c r="H733" s="1"/>
      <c r="I733" s="1"/>
      <c r="J733" s="1"/>
    </row>
    <row r="734" ht="14.25" customHeight="1">
      <c r="H734" s="1"/>
      <c r="I734" s="1"/>
      <c r="J734" s="1"/>
    </row>
    <row r="735" ht="14.25" customHeight="1">
      <c r="H735" s="1"/>
      <c r="I735" s="1"/>
      <c r="J735" s="1"/>
    </row>
    <row r="736" ht="14.25" customHeight="1">
      <c r="H736" s="1"/>
      <c r="I736" s="1"/>
      <c r="J736" s="1"/>
    </row>
    <row r="737" ht="14.25" customHeight="1">
      <c r="H737" s="1"/>
      <c r="I737" s="1"/>
      <c r="J737" s="1"/>
    </row>
    <row r="738" ht="14.25" customHeight="1">
      <c r="H738" s="1"/>
      <c r="I738" s="1"/>
      <c r="J738" s="1"/>
    </row>
    <row r="739" ht="14.25" customHeight="1">
      <c r="H739" s="1"/>
      <c r="I739" s="1"/>
      <c r="J739" s="1"/>
    </row>
    <row r="740" ht="14.25" customHeight="1">
      <c r="H740" s="1"/>
      <c r="I740" s="1"/>
      <c r="J740" s="1"/>
    </row>
    <row r="741" ht="14.25" customHeight="1">
      <c r="H741" s="1"/>
      <c r="I741" s="1"/>
      <c r="J741" s="1"/>
    </row>
    <row r="742" ht="14.25" customHeight="1">
      <c r="H742" s="1"/>
      <c r="I742" s="1"/>
      <c r="J742" s="1"/>
    </row>
    <row r="743" ht="14.25" customHeight="1">
      <c r="H743" s="1"/>
      <c r="I743" s="1"/>
      <c r="J743" s="1"/>
    </row>
    <row r="744" ht="14.25" customHeight="1">
      <c r="H744" s="1"/>
      <c r="I744" s="1"/>
      <c r="J744" s="1"/>
    </row>
    <row r="745" ht="14.25" customHeight="1">
      <c r="H745" s="1"/>
      <c r="I745" s="1"/>
      <c r="J745" s="1"/>
    </row>
    <row r="746" ht="14.25" customHeight="1">
      <c r="H746" s="1"/>
      <c r="I746" s="1"/>
      <c r="J746" s="1"/>
    </row>
    <row r="747" ht="14.25" customHeight="1">
      <c r="H747" s="1"/>
      <c r="I747" s="1"/>
      <c r="J747" s="1"/>
    </row>
    <row r="748" ht="14.25" customHeight="1">
      <c r="H748" s="1"/>
      <c r="I748" s="1"/>
      <c r="J748" s="1"/>
    </row>
    <row r="749" ht="14.25" customHeight="1">
      <c r="H749" s="1"/>
      <c r="I749" s="1"/>
      <c r="J749" s="1"/>
    </row>
    <row r="750" ht="14.25" customHeight="1">
      <c r="H750" s="1"/>
      <c r="I750" s="1"/>
      <c r="J750" s="1"/>
    </row>
    <row r="751" ht="14.25" customHeight="1">
      <c r="H751" s="1"/>
      <c r="I751" s="1"/>
      <c r="J751" s="1"/>
    </row>
    <row r="752" ht="14.25" customHeight="1">
      <c r="H752" s="1"/>
      <c r="I752" s="1"/>
      <c r="J752" s="1"/>
    </row>
    <row r="753" ht="14.25" customHeight="1">
      <c r="H753" s="1"/>
      <c r="I753" s="1"/>
      <c r="J753" s="1"/>
    </row>
    <row r="754" ht="14.25" customHeight="1">
      <c r="H754" s="1"/>
      <c r="I754" s="1"/>
      <c r="J754" s="1"/>
    </row>
    <row r="755" ht="14.25" customHeight="1">
      <c r="H755" s="1"/>
      <c r="I755" s="1"/>
      <c r="J755" s="1"/>
    </row>
    <row r="756" ht="14.25" customHeight="1">
      <c r="H756" s="1"/>
      <c r="I756" s="1"/>
      <c r="J756" s="1"/>
    </row>
    <row r="757" ht="14.25" customHeight="1">
      <c r="H757" s="1"/>
      <c r="I757" s="1"/>
      <c r="J757" s="1"/>
    </row>
    <row r="758" ht="14.25" customHeight="1">
      <c r="H758" s="1"/>
      <c r="I758" s="1"/>
      <c r="J758" s="1"/>
    </row>
    <row r="759" ht="14.25" customHeight="1">
      <c r="H759" s="1"/>
      <c r="I759" s="1"/>
      <c r="J759" s="1"/>
    </row>
    <row r="760" ht="14.25" customHeight="1">
      <c r="H760" s="1"/>
      <c r="I760" s="1"/>
      <c r="J760" s="1"/>
    </row>
    <row r="761" ht="14.25" customHeight="1">
      <c r="H761" s="1"/>
      <c r="I761" s="1"/>
      <c r="J761" s="1"/>
    </row>
    <row r="762" ht="14.25" customHeight="1">
      <c r="H762" s="1"/>
      <c r="I762" s="1"/>
      <c r="J762" s="1"/>
    </row>
    <row r="763" ht="14.25" customHeight="1">
      <c r="H763" s="1"/>
      <c r="I763" s="1"/>
      <c r="J763" s="1"/>
    </row>
    <row r="764" ht="14.25" customHeight="1">
      <c r="H764" s="1"/>
      <c r="I764" s="1"/>
      <c r="J764" s="1"/>
    </row>
    <row r="765" ht="14.25" customHeight="1">
      <c r="H765" s="1"/>
      <c r="I765" s="1"/>
      <c r="J765" s="1"/>
    </row>
    <row r="766" ht="14.25" customHeight="1">
      <c r="H766" s="1"/>
      <c r="I766" s="1"/>
      <c r="J766" s="1"/>
    </row>
    <row r="767" ht="14.25" customHeight="1">
      <c r="H767" s="1"/>
      <c r="I767" s="1"/>
      <c r="J767" s="1"/>
    </row>
    <row r="768" ht="14.25" customHeight="1">
      <c r="H768" s="1"/>
      <c r="I768" s="1"/>
      <c r="J768" s="1"/>
    </row>
    <row r="769" ht="14.25" customHeight="1">
      <c r="H769" s="1"/>
      <c r="I769" s="1"/>
      <c r="J769" s="1"/>
    </row>
    <row r="770" ht="14.25" customHeight="1">
      <c r="H770" s="1"/>
      <c r="I770" s="1"/>
      <c r="J770" s="1"/>
    </row>
    <row r="771" ht="14.25" customHeight="1">
      <c r="H771" s="1"/>
      <c r="I771" s="1"/>
      <c r="J771" s="1"/>
    </row>
    <row r="772" ht="14.25" customHeight="1">
      <c r="H772" s="1"/>
      <c r="I772" s="1"/>
      <c r="J772" s="1"/>
    </row>
    <row r="773" ht="14.25" customHeight="1">
      <c r="H773" s="1"/>
      <c r="I773" s="1"/>
      <c r="J773" s="1"/>
    </row>
    <row r="774" ht="14.25" customHeight="1">
      <c r="H774" s="1"/>
      <c r="I774" s="1"/>
      <c r="J774" s="1"/>
    </row>
    <row r="775" ht="14.25" customHeight="1">
      <c r="H775" s="1"/>
      <c r="I775" s="1"/>
      <c r="J775" s="1"/>
    </row>
    <row r="776" ht="14.25" customHeight="1">
      <c r="H776" s="1"/>
      <c r="I776" s="1"/>
      <c r="J776" s="1"/>
    </row>
    <row r="777" ht="14.25" customHeight="1">
      <c r="H777" s="1"/>
      <c r="I777" s="1"/>
      <c r="J777" s="1"/>
    </row>
    <row r="778" ht="14.25" customHeight="1">
      <c r="H778" s="1"/>
      <c r="I778" s="1"/>
      <c r="J778" s="1"/>
    </row>
    <row r="779" ht="14.25" customHeight="1">
      <c r="H779" s="1"/>
      <c r="I779" s="1"/>
      <c r="J779" s="1"/>
    </row>
    <row r="780" ht="14.25" customHeight="1">
      <c r="H780" s="1"/>
      <c r="I780" s="1"/>
      <c r="J780" s="1"/>
    </row>
    <row r="781" ht="14.25" customHeight="1">
      <c r="H781" s="1"/>
      <c r="I781" s="1"/>
      <c r="J781" s="1"/>
    </row>
    <row r="782" ht="14.25" customHeight="1">
      <c r="H782" s="1"/>
      <c r="I782" s="1"/>
      <c r="J782" s="1"/>
    </row>
    <row r="783" ht="14.25" customHeight="1">
      <c r="H783" s="1"/>
      <c r="I783" s="1"/>
      <c r="J783" s="1"/>
    </row>
    <row r="784" ht="14.25" customHeight="1">
      <c r="H784" s="1"/>
      <c r="I784" s="1"/>
      <c r="J784" s="1"/>
    </row>
    <row r="785" ht="14.25" customHeight="1">
      <c r="H785" s="1"/>
      <c r="I785" s="1"/>
      <c r="J785" s="1"/>
    </row>
    <row r="786" ht="14.25" customHeight="1">
      <c r="H786" s="1"/>
      <c r="I786" s="1"/>
      <c r="J786" s="1"/>
    </row>
    <row r="787" ht="14.25" customHeight="1">
      <c r="H787" s="1"/>
      <c r="I787" s="1"/>
      <c r="J787" s="1"/>
    </row>
    <row r="788" ht="14.25" customHeight="1">
      <c r="H788" s="1"/>
      <c r="I788" s="1"/>
      <c r="J788" s="1"/>
    </row>
    <row r="789" ht="14.25" customHeight="1">
      <c r="H789" s="1"/>
      <c r="I789" s="1"/>
      <c r="J789" s="1"/>
    </row>
    <row r="790" ht="14.25" customHeight="1">
      <c r="H790" s="1"/>
      <c r="I790" s="1"/>
      <c r="J790" s="1"/>
    </row>
    <row r="791" ht="14.25" customHeight="1">
      <c r="H791" s="1"/>
      <c r="I791" s="1"/>
      <c r="J791" s="1"/>
    </row>
    <row r="792" ht="14.25" customHeight="1">
      <c r="H792" s="1"/>
      <c r="I792" s="1"/>
      <c r="J792" s="1"/>
    </row>
    <row r="793" ht="14.25" customHeight="1">
      <c r="H793" s="1"/>
      <c r="I793" s="1"/>
      <c r="J793" s="1"/>
    </row>
    <row r="794" ht="14.25" customHeight="1">
      <c r="H794" s="1"/>
      <c r="I794" s="1"/>
      <c r="J794" s="1"/>
    </row>
    <row r="795" ht="14.25" customHeight="1">
      <c r="H795" s="1"/>
      <c r="I795" s="1"/>
      <c r="J795" s="1"/>
    </row>
    <row r="796" ht="14.25" customHeight="1">
      <c r="H796" s="1"/>
      <c r="I796" s="1"/>
      <c r="J796" s="1"/>
    </row>
    <row r="797" ht="14.25" customHeight="1">
      <c r="H797" s="1"/>
      <c r="I797" s="1"/>
      <c r="J797" s="1"/>
    </row>
    <row r="798" ht="14.25" customHeight="1">
      <c r="H798" s="1"/>
      <c r="I798" s="1"/>
      <c r="J798" s="1"/>
    </row>
    <row r="799" ht="14.25" customHeight="1">
      <c r="H799" s="1"/>
      <c r="I799" s="1"/>
      <c r="J799" s="1"/>
    </row>
    <row r="800" ht="14.25" customHeight="1">
      <c r="H800" s="1"/>
      <c r="I800" s="1"/>
      <c r="J800" s="1"/>
    </row>
    <row r="801" ht="14.25" customHeight="1">
      <c r="H801" s="1"/>
      <c r="I801" s="1"/>
      <c r="J801" s="1"/>
    </row>
    <row r="802" ht="14.25" customHeight="1">
      <c r="H802" s="1"/>
      <c r="I802" s="1"/>
      <c r="J802" s="1"/>
    </row>
    <row r="803" ht="14.25" customHeight="1">
      <c r="H803" s="1"/>
      <c r="I803" s="1"/>
      <c r="J803" s="1"/>
    </row>
    <row r="804" ht="14.25" customHeight="1">
      <c r="H804" s="1"/>
      <c r="I804" s="1"/>
      <c r="J804" s="1"/>
    </row>
    <row r="805" ht="14.25" customHeight="1">
      <c r="H805" s="1"/>
      <c r="I805" s="1"/>
      <c r="J805" s="1"/>
    </row>
    <row r="806" ht="14.25" customHeight="1">
      <c r="H806" s="1"/>
      <c r="I806" s="1"/>
      <c r="J806" s="1"/>
    </row>
    <row r="807" ht="14.25" customHeight="1">
      <c r="H807" s="1"/>
      <c r="I807" s="1"/>
      <c r="J807" s="1"/>
    </row>
    <row r="808" ht="14.25" customHeight="1">
      <c r="H808" s="1"/>
      <c r="I808" s="1"/>
      <c r="J808" s="1"/>
    </row>
    <row r="809" ht="14.25" customHeight="1">
      <c r="H809" s="1"/>
      <c r="I809" s="1"/>
      <c r="J809" s="1"/>
    </row>
    <row r="810" ht="14.25" customHeight="1">
      <c r="H810" s="1"/>
      <c r="I810" s="1"/>
      <c r="J810" s="1"/>
    </row>
    <row r="811" ht="14.25" customHeight="1">
      <c r="H811" s="1"/>
      <c r="I811" s="1"/>
      <c r="J811" s="1"/>
    </row>
    <row r="812" ht="14.25" customHeight="1">
      <c r="H812" s="1"/>
      <c r="I812" s="1"/>
      <c r="J812" s="1"/>
    </row>
    <row r="813" ht="14.25" customHeight="1">
      <c r="H813" s="1"/>
      <c r="I813" s="1"/>
      <c r="J813" s="1"/>
    </row>
    <row r="814" ht="14.25" customHeight="1">
      <c r="H814" s="1"/>
      <c r="I814" s="1"/>
      <c r="J814" s="1"/>
    </row>
    <row r="815" ht="14.25" customHeight="1">
      <c r="H815" s="1"/>
      <c r="I815" s="1"/>
      <c r="J815" s="1"/>
    </row>
    <row r="816" ht="14.25" customHeight="1">
      <c r="H816" s="1"/>
      <c r="I816" s="1"/>
      <c r="J816" s="1"/>
    </row>
    <row r="817" ht="14.25" customHeight="1">
      <c r="H817" s="1"/>
      <c r="I817" s="1"/>
      <c r="J817" s="1"/>
    </row>
    <row r="818" ht="14.25" customHeight="1">
      <c r="H818" s="1"/>
      <c r="I818" s="1"/>
      <c r="J818" s="1"/>
    </row>
    <row r="819" ht="14.25" customHeight="1">
      <c r="H819" s="1"/>
      <c r="I819" s="1"/>
      <c r="J819" s="1"/>
    </row>
    <row r="820" ht="14.25" customHeight="1">
      <c r="H820" s="1"/>
      <c r="I820" s="1"/>
      <c r="J820" s="1"/>
    </row>
    <row r="821" ht="14.25" customHeight="1">
      <c r="H821" s="1"/>
      <c r="I821" s="1"/>
      <c r="J821" s="1"/>
    </row>
    <row r="822" ht="14.25" customHeight="1">
      <c r="H822" s="1"/>
      <c r="I822" s="1"/>
      <c r="J822" s="1"/>
    </row>
    <row r="823" ht="14.25" customHeight="1">
      <c r="H823" s="1"/>
      <c r="I823" s="1"/>
      <c r="J823" s="1"/>
    </row>
    <row r="824" ht="14.25" customHeight="1">
      <c r="H824" s="1"/>
      <c r="I824" s="1"/>
      <c r="J824" s="1"/>
    </row>
    <row r="825" ht="14.25" customHeight="1">
      <c r="H825" s="1"/>
      <c r="I825" s="1"/>
      <c r="J825" s="1"/>
    </row>
    <row r="826" ht="14.25" customHeight="1">
      <c r="H826" s="1"/>
      <c r="I826" s="1"/>
      <c r="J826" s="1"/>
    </row>
    <row r="827" ht="14.25" customHeight="1">
      <c r="H827" s="1"/>
      <c r="I827" s="1"/>
      <c r="J827" s="1"/>
    </row>
    <row r="828" ht="14.25" customHeight="1">
      <c r="H828" s="1"/>
      <c r="I828" s="1"/>
      <c r="J828" s="1"/>
    </row>
    <row r="829" ht="14.25" customHeight="1">
      <c r="H829" s="1"/>
      <c r="I829" s="1"/>
      <c r="J829" s="1"/>
    </row>
    <row r="830" ht="14.25" customHeight="1">
      <c r="H830" s="1"/>
      <c r="I830" s="1"/>
      <c r="J830" s="1"/>
    </row>
    <row r="831" ht="14.25" customHeight="1">
      <c r="H831" s="1"/>
      <c r="I831" s="1"/>
      <c r="J831" s="1"/>
    </row>
    <row r="832" ht="14.25" customHeight="1">
      <c r="H832" s="1"/>
      <c r="I832" s="1"/>
      <c r="J832" s="1"/>
    </row>
    <row r="833" ht="14.25" customHeight="1">
      <c r="H833" s="1"/>
      <c r="I833" s="1"/>
      <c r="J833" s="1"/>
    </row>
    <row r="834" ht="14.25" customHeight="1">
      <c r="H834" s="1"/>
      <c r="I834" s="1"/>
      <c r="J834" s="1"/>
    </row>
    <row r="835" ht="14.25" customHeight="1">
      <c r="H835" s="1"/>
      <c r="I835" s="1"/>
      <c r="J835" s="1"/>
    </row>
    <row r="836" ht="14.25" customHeight="1">
      <c r="H836" s="1"/>
      <c r="I836" s="1"/>
      <c r="J836" s="1"/>
    </row>
    <row r="837" ht="14.25" customHeight="1">
      <c r="H837" s="1"/>
      <c r="I837" s="1"/>
      <c r="J837" s="1"/>
    </row>
    <row r="838" ht="14.25" customHeight="1">
      <c r="H838" s="1"/>
      <c r="I838" s="1"/>
      <c r="J838" s="1"/>
    </row>
    <row r="839" ht="14.25" customHeight="1">
      <c r="H839" s="1"/>
      <c r="I839" s="1"/>
      <c r="J839" s="1"/>
    </row>
    <row r="840" ht="14.25" customHeight="1">
      <c r="H840" s="1"/>
      <c r="I840" s="1"/>
      <c r="J840" s="1"/>
    </row>
    <row r="841" ht="14.25" customHeight="1">
      <c r="H841" s="1"/>
      <c r="I841" s="1"/>
      <c r="J841" s="1"/>
    </row>
    <row r="842" ht="14.25" customHeight="1">
      <c r="H842" s="1"/>
      <c r="I842" s="1"/>
      <c r="J842" s="1"/>
    </row>
    <row r="843" ht="14.25" customHeight="1">
      <c r="H843" s="1"/>
      <c r="I843" s="1"/>
      <c r="J843" s="1"/>
    </row>
    <row r="844" ht="14.25" customHeight="1">
      <c r="H844" s="1"/>
      <c r="I844" s="1"/>
      <c r="J844" s="1"/>
    </row>
    <row r="845" ht="14.25" customHeight="1">
      <c r="H845" s="1"/>
      <c r="I845" s="1"/>
      <c r="J845" s="1"/>
    </row>
    <row r="846" ht="14.25" customHeight="1">
      <c r="H846" s="1"/>
      <c r="I846" s="1"/>
      <c r="J846" s="1"/>
    </row>
    <row r="847" ht="14.25" customHeight="1">
      <c r="H847" s="1"/>
      <c r="I847" s="1"/>
      <c r="J847" s="1"/>
    </row>
    <row r="848" ht="14.25" customHeight="1">
      <c r="H848" s="1"/>
      <c r="I848" s="1"/>
      <c r="J848" s="1"/>
    </row>
    <row r="849" ht="14.25" customHeight="1">
      <c r="H849" s="1"/>
      <c r="I849" s="1"/>
      <c r="J849" s="1"/>
    </row>
    <row r="850" ht="14.25" customHeight="1">
      <c r="H850" s="1"/>
      <c r="I850" s="1"/>
      <c r="J850" s="1"/>
    </row>
    <row r="851" ht="14.25" customHeight="1">
      <c r="H851" s="1"/>
      <c r="I851" s="1"/>
      <c r="J851" s="1"/>
    </row>
    <row r="852" ht="14.25" customHeight="1">
      <c r="H852" s="1"/>
      <c r="I852" s="1"/>
      <c r="J852" s="1"/>
    </row>
    <row r="853" ht="14.25" customHeight="1">
      <c r="H853" s="1"/>
      <c r="I853" s="1"/>
      <c r="J853" s="1"/>
    </row>
    <row r="854" ht="14.25" customHeight="1">
      <c r="H854" s="1"/>
      <c r="I854" s="1"/>
      <c r="J854" s="1"/>
    </row>
    <row r="855" ht="14.25" customHeight="1">
      <c r="H855" s="1"/>
      <c r="I855" s="1"/>
      <c r="J855" s="1"/>
    </row>
    <row r="856" ht="14.25" customHeight="1">
      <c r="H856" s="1"/>
      <c r="I856" s="1"/>
      <c r="J856" s="1"/>
    </row>
    <row r="857" ht="14.25" customHeight="1">
      <c r="H857" s="1"/>
      <c r="I857" s="1"/>
      <c r="J857" s="1"/>
    </row>
    <row r="858" ht="14.25" customHeight="1">
      <c r="H858" s="1"/>
      <c r="I858" s="1"/>
      <c r="J858" s="1"/>
    </row>
    <row r="859" ht="14.25" customHeight="1">
      <c r="H859" s="1"/>
      <c r="I859" s="1"/>
      <c r="J859" s="1"/>
    </row>
    <row r="860" ht="14.25" customHeight="1">
      <c r="H860" s="1"/>
      <c r="I860" s="1"/>
      <c r="J860" s="1"/>
    </row>
    <row r="861" ht="14.25" customHeight="1">
      <c r="H861" s="1"/>
      <c r="I861" s="1"/>
      <c r="J861" s="1"/>
    </row>
    <row r="862" ht="14.25" customHeight="1">
      <c r="H862" s="1"/>
      <c r="I862" s="1"/>
      <c r="J862" s="1"/>
    </row>
    <row r="863" ht="14.25" customHeight="1">
      <c r="H863" s="1"/>
      <c r="I863" s="1"/>
      <c r="J863" s="1"/>
    </row>
    <row r="864" ht="14.25" customHeight="1">
      <c r="H864" s="1"/>
      <c r="I864" s="1"/>
      <c r="J864" s="1"/>
    </row>
    <row r="865" ht="14.25" customHeight="1">
      <c r="H865" s="1"/>
      <c r="I865" s="1"/>
      <c r="J865" s="1"/>
    </row>
    <row r="866" ht="14.25" customHeight="1">
      <c r="H866" s="1"/>
      <c r="I866" s="1"/>
      <c r="J866" s="1"/>
    </row>
    <row r="867" ht="14.25" customHeight="1">
      <c r="H867" s="1"/>
      <c r="I867" s="1"/>
      <c r="J867" s="1"/>
    </row>
    <row r="868" ht="14.25" customHeight="1">
      <c r="H868" s="1"/>
      <c r="I868" s="1"/>
      <c r="J868" s="1"/>
    </row>
    <row r="869" ht="14.25" customHeight="1">
      <c r="H869" s="1"/>
      <c r="I869" s="1"/>
      <c r="J869" s="1"/>
    </row>
    <row r="870" ht="14.25" customHeight="1">
      <c r="H870" s="1"/>
      <c r="I870" s="1"/>
      <c r="J870" s="1"/>
    </row>
    <row r="871" ht="14.25" customHeight="1">
      <c r="H871" s="1"/>
      <c r="I871" s="1"/>
      <c r="J871" s="1"/>
    </row>
    <row r="872" ht="14.25" customHeight="1">
      <c r="H872" s="1"/>
      <c r="I872" s="1"/>
      <c r="J872" s="1"/>
    </row>
    <row r="873" ht="14.25" customHeight="1">
      <c r="H873" s="1"/>
      <c r="I873" s="1"/>
      <c r="J873" s="1"/>
    </row>
    <row r="874" ht="14.25" customHeight="1">
      <c r="H874" s="1"/>
      <c r="I874" s="1"/>
      <c r="J874" s="1"/>
    </row>
    <row r="875" ht="14.25" customHeight="1">
      <c r="H875" s="1"/>
      <c r="I875" s="1"/>
      <c r="J875" s="1"/>
    </row>
    <row r="876" ht="14.25" customHeight="1">
      <c r="H876" s="1"/>
      <c r="I876" s="1"/>
      <c r="J876" s="1"/>
    </row>
    <row r="877" ht="14.25" customHeight="1">
      <c r="H877" s="1"/>
      <c r="I877" s="1"/>
      <c r="J877" s="1"/>
    </row>
    <row r="878" ht="14.25" customHeight="1">
      <c r="H878" s="1"/>
      <c r="I878" s="1"/>
      <c r="J878" s="1"/>
    </row>
    <row r="879" ht="14.25" customHeight="1">
      <c r="H879" s="1"/>
      <c r="I879" s="1"/>
      <c r="J879" s="1"/>
    </row>
    <row r="880" ht="14.25" customHeight="1">
      <c r="H880" s="1"/>
      <c r="I880" s="1"/>
      <c r="J880" s="1"/>
    </row>
    <row r="881" ht="14.25" customHeight="1">
      <c r="H881" s="1"/>
      <c r="I881" s="1"/>
      <c r="J881" s="1"/>
    </row>
    <row r="882" ht="14.25" customHeight="1">
      <c r="H882" s="1"/>
      <c r="I882" s="1"/>
      <c r="J882" s="1"/>
    </row>
    <row r="883" ht="14.25" customHeight="1">
      <c r="H883" s="1"/>
      <c r="I883" s="1"/>
      <c r="J883" s="1"/>
    </row>
    <row r="884" ht="14.25" customHeight="1">
      <c r="H884" s="1"/>
      <c r="I884" s="1"/>
      <c r="J884" s="1"/>
    </row>
    <row r="885" ht="14.25" customHeight="1">
      <c r="H885" s="1"/>
      <c r="I885" s="1"/>
      <c r="J885" s="1"/>
    </row>
    <row r="886" ht="14.25" customHeight="1">
      <c r="H886" s="1"/>
      <c r="I886" s="1"/>
      <c r="J886" s="1"/>
    </row>
    <row r="887" ht="14.25" customHeight="1">
      <c r="H887" s="1"/>
      <c r="I887" s="1"/>
      <c r="J887" s="1"/>
    </row>
    <row r="888" ht="14.25" customHeight="1">
      <c r="H888" s="1"/>
      <c r="I888" s="1"/>
      <c r="J888" s="1"/>
    </row>
    <row r="889" ht="14.25" customHeight="1">
      <c r="H889" s="1"/>
      <c r="I889" s="1"/>
      <c r="J889" s="1"/>
    </row>
    <row r="890" ht="14.25" customHeight="1">
      <c r="H890" s="1"/>
      <c r="I890" s="1"/>
      <c r="J890" s="1"/>
    </row>
    <row r="891" ht="14.25" customHeight="1">
      <c r="H891" s="1"/>
      <c r="I891" s="1"/>
      <c r="J891" s="1"/>
    </row>
    <row r="892" ht="14.25" customHeight="1">
      <c r="H892" s="1"/>
      <c r="I892" s="1"/>
      <c r="J892" s="1"/>
    </row>
    <row r="893" ht="14.25" customHeight="1">
      <c r="H893" s="1"/>
      <c r="I893" s="1"/>
      <c r="J893" s="1"/>
    </row>
    <row r="894" ht="14.25" customHeight="1">
      <c r="H894" s="1"/>
      <c r="I894" s="1"/>
      <c r="J894" s="1"/>
    </row>
    <row r="895" ht="14.25" customHeight="1">
      <c r="H895" s="1"/>
      <c r="I895" s="1"/>
      <c r="J895" s="1"/>
    </row>
    <row r="896" ht="14.25" customHeight="1">
      <c r="H896" s="1"/>
      <c r="I896" s="1"/>
      <c r="J896" s="1"/>
    </row>
    <row r="897" ht="14.25" customHeight="1">
      <c r="H897" s="1"/>
      <c r="I897" s="1"/>
      <c r="J897" s="1"/>
    </row>
    <row r="898" ht="14.25" customHeight="1">
      <c r="H898" s="1"/>
      <c r="I898" s="1"/>
      <c r="J898" s="1"/>
    </row>
    <row r="899" ht="14.25" customHeight="1">
      <c r="H899" s="1"/>
      <c r="I899" s="1"/>
      <c r="J899" s="1"/>
    </row>
    <row r="900" ht="14.25" customHeight="1">
      <c r="H900" s="1"/>
      <c r="I900" s="1"/>
      <c r="J900" s="1"/>
    </row>
    <row r="901" ht="14.25" customHeight="1">
      <c r="H901" s="1"/>
      <c r="I901" s="1"/>
      <c r="J901" s="1"/>
    </row>
    <row r="902" ht="14.25" customHeight="1">
      <c r="H902" s="1"/>
      <c r="I902" s="1"/>
      <c r="J902" s="1"/>
    </row>
    <row r="903" ht="14.25" customHeight="1">
      <c r="H903" s="1"/>
      <c r="I903" s="1"/>
      <c r="J903" s="1"/>
    </row>
    <row r="904" ht="14.25" customHeight="1">
      <c r="H904" s="1"/>
      <c r="I904" s="1"/>
      <c r="J904" s="1"/>
    </row>
    <row r="905" ht="14.25" customHeight="1">
      <c r="H905" s="1"/>
      <c r="I905" s="1"/>
      <c r="J905" s="1"/>
    </row>
    <row r="906" ht="14.25" customHeight="1">
      <c r="H906" s="1"/>
      <c r="I906" s="1"/>
      <c r="J906" s="1"/>
    </row>
    <row r="907" ht="14.25" customHeight="1">
      <c r="H907" s="1"/>
      <c r="I907" s="1"/>
      <c r="J907" s="1"/>
    </row>
    <row r="908" ht="14.25" customHeight="1">
      <c r="H908" s="1"/>
      <c r="I908" s="1"/>
      <c r="J908" s="1"/>
    </row>
    <row r="909" ht="14.25" customHeight="1">
      <c r="H909" s="1"/>
      <c r="I909" s="1"/>
      <c r="J909" s="1"/>
    </row>
    <row r="910" ht="14.25" customHeight="1">
      <c r="H910" s="1"/>
      <c r="I910" s="1"/>
      <c r="J910" s="1"/>
    </row>
    <row r="911" ht="14.25" customHeight="1">
      <c r="H911" s="1"/>
      <c r="I911" s="1"/>
      <c r="J911" s="1"/>
    </row>
    <row r="912" ht="14.25" customHeight="1">
      <c r="H912" s="1"/>
      <c r="I912" s="1"/>
      <c r="J912" s="1"/>
    </row>
    <row r="913" ht="14.25" customHeight="1">
      <c r="H913" s="1"/>
      <c r="I913" s="1"/>
      <c r="J913" s="1"/>
    </row>
    <row r="914" ht="14.25" customHeight="1">
      <c r="H914" s="1"/>
      <c r="I914" s="1"/>
      <c r="J914" s="1"/>
    </row>
    <row r="915" ht="14.25" customHeight="1">
      <c r="H915" s="1"/>
      <c r="I915" s="1"/>
      <c r="J915" s="1"/>
    </row>
    <row r="916" ht="14.25" customHeight="1">
      <c r="H916" s="1"/>
      <c r="I916" s="1"/>
      <c r="J916" s="1"/>
    </row>
    <row r="917" ht="14.25" customHeight="1">
      <c r="H917" s="1"/>
      <c r="I917" s="1"/>
      <c r="J917" s="1"/>
    </row>
    <row r="918" ht="14.25" customHeight="1">
      <c r="H918" s="1"/>
      <c r="I918" s="1"/>
      <c r="J918" s="1"/>
    </row>
    <row r="919" ht="14.25" customHeight="1">
      <c r="H919" s="1"/>
      <c r="I919" s="1"/>
      <c r="J919" s="1"/>
    </row>
    <row r="920" ht="14.25" customHeight="1">
      <c r="H920" s="1"/>
      <c r="I920" s="1"/>
      <c r="J920" s="1"/>
    </row>
    <row r="921" ht="14.25" customHeight="1">
      <c r="H921" s="1"/>
      <c r="I921" s="1"/>
      <c r="J921" s="1"/>
    </row>
    <row r="922" ht="14.25" customHeight="1">
      <c r="H922" s="1"/>
      <c r="I922" s="1"/>
      <c r="J922" s="1"/>
    </row>
    <row r="923" ht="14.25" customHeight="1">
      <c r="H923" s="1"/>
      <c r="I923" s="1"/>
      <c r="J923" s="1"/>
    </row>
    <row r="924" ht="14.25" customHeight="1">
      <c r="H924" s="1"/>
      <c r="I924" s="1"/>
      <c r="J924" s="1"/>
    </row>
    <row r="925" ht="14.25" customHeight="1">
      <c r="H925" s="1"/>
      <c r="I925" s="1"/>
      <c r="J925" s="1"/>
    </row>
    <row r="926" ht="14.25" customHeight="1">
      <c r="H926" s="1"/>
      <c r="I926" s="1"/>
      <c r="J926" s="1"/>
    </row>
    <row r="927" ht="14.25" customHeight="1">
      <c r="H927" s="1"/>
      <c r="I927" s="1"/>
      <c r="J927" s="1"/>
    </row>
    <row r="928" ht="14.25" customHeight="1">
      <c r="H928" s="1"/>
      <c r="I928" s="1"/>
      <c r="J928" s="1"/>
    </row>
    <row r="929" ht="14.25" customHeight="1">
      <c r="H929" s="1"/>
      <c r="I929" s="1"/>
      <c r="J929" s="1"/>
    </row>
    <row r="930" ht="14.25" customHeight="1">
      <c r="H930" s="1"/>
      <c r="I930" s="1"/>
      <c r="J930" s="1"/>
    </row>
    <row r="931" ht="14.25" customHeight="1">
      <c r="H931" s="1"/>
      <c r="I931" s="1"/>
      <c r="J931" s="1"/>
    </row>
    <row r="932" ht="14.25" customHeight="1">
      <c r="H932" s="1"/>
      <c r="I932" s="1"/>
      <c r="J932" s="1"/>
    </row>
    <row r="933" ht="14.25" customHeight="1">
      <c r="H933" s="1"/>
      <c r="I933" s="1"/>
      <c r="J933" s="1"/>
    </row>
    <row r="934" ht="14.25" customHeight="1">
      <c r="H934" s="1"/>
      <c r="I934" s="1"/>
      <c r="J934" s="1"/>
    </row>
    <row r="935" ht="14.25" customHeight="1">
      <c r="H935" s="1"/>
      <c r="I935" s="1"/>
      <c r="J935" s="1"/>
    </row>
    <row r="936" ht="14.25" customHeight="1">
      <c r="H936" s="1"/>
      <c r="I936" s="1"/>
      <c r="J936" s="1"/>
    </row>
    <row r="937" ht="14.25" customHeight="1">
      <c r="H937" s="1"/>
      <c r="I937" s="1"/>
      <c r="J937" s="1"/>
    </row>
    <row r="938" ht="14.25" customHeight="1">
      <c r="H938" s="1"/>
      <c r="I938" s="1"/>
      <c r="J938" s="1"/>
    </row>
    <row r="939" ht="14.25" customHeight="1">
      <c r="H939" s="1"/>
      <c r="I939" s="1"/>
      <c r="J939" s="1"/>
    </row>
    <row r="940" ht="14.25" customHeight="1">
      <c r="H940" s="1"/>
      <c r="I940" s="1"/>
      <c r="J940" s="1"/>
    </row>
    <row r="941" ht="14.25" customHeight="1">
      <c r="H941" s="1"/>
      <c r="I941" s="1"/>
      <c r="J941" s="1"/>
    </row>
    <row r="942" ht="14.25" customHeight="1">
      <c r="H942" s="1"/>
      <c r="I942" s="1"/>
      <c r="J942" s="1"/>
    </row>
    <row r="943" ht="14.25" customHeight="1">
      <c r="H943" s="1"/>
      <c r="I943" s="1"/>
      <c r="J943" s="1"/>
    </row>
    <row r="944" ht="14.25" customHeight="1">
      <c r="H944" s="1"/>
      <c r="I944" s="1"/>
      <c r="J944" s="1"/>
    </row>
    <row r="945" ht="14.25" customHeight="1">
      <c r="H945" s="1"/>
      <c r="I945" s="1"/>
      <c r="J945" s="1"/>
    </row>
    <row r="946" ht="14.25" customHeight="1">
      <c r="H946" s="1"/>
      <c r="I946" s="1"/>
      <c r="J946" s="1"/>
    </row>
    <row r="947" ht="14.25" customHeight="1">
      <c r="H947" s="1"/>
      <c r="I947" s="1"/>
      <c r="J947" s="1"/>
    </row>
    <row r="948" ht="14.25" customHeight="1">
      <c r="H948" s="1"/>
      <c r="I948" s="1"/>
      <c r="J948" s="1"/>
    </row>
    <row r="949" ht="14.25" customHeight="1">
      <c r="H949" s="1"/>
      <c r="I949" s="1"/>
      <c r="J949" s="1"/>
    </row>
    <row r="950" ht="14.25" customHeight="1">
      <c r="H950" s="1"/>
      <c r="I950" s="1"/>
      <c r="J950" s="1"/>
    </row>
    <row r="951" ht="14.25" customHeight="1">
      <c r="H951" s="1"/>
      <c r="I951" s="1"/>
      <c r="J951" s="1"/>
    </row>
    <row r="952" ht="14.25" customHeight="1">
      <c r="H952" s="1"/>
      <c r="I952" s="1"/>
      <c r="J952" s="1"/>
    </row>
    <row r="953" ht="14.25" customHeight="1">
      <c r="H953" s="1"/>
      <c r="I953" s="1"/>
      <c r="J953" s="1"/>
    </row>
    <row r="954" ht="14.25" customHeight="1">
      <c r="H954" s="1"/>
      <c r="I954" s="1"/>
      <c r="J954" s="1"/>
    </row>
    <row r="955" ht="14.25" customHeight="1">
      <c r="H955" s="1"/>
      <c r="I955" s="1"/>
      <c r="J955" s="1"/>
    </row>
    <row r="956" ht="14.25" customHeight="1">
      <c r="H956" s="1"/>
      <c r="I956" s="1"/>
      <c r="J956" s="1"/>
    </row>
    <row r="957" ht="14.25" customHeight="1">
      <c r="H957" s="1"/>
      <c r="I957" s="1"/>
      <c r="J957" s="1"/>
    </row>
    <row r="958" ht="14.25" customHeight="1">
      <c r="H958" s="1"/>
      <c r="I958" s="1"/>
      <c r="J958" s="1"/>
    </row>
    <row r="959" ht="14.25" customHeight="1">
      <c r="H959" s="1"/>
      <c r="I959" s="1"/>
      <c r="J959" s="1"/>
    </row>
    <row r="960" ht="14.25" customHeight="1">
      <c r="H960" s="1"/>
      <c r="I960" s="1"/>
      <c r="J960" s="1"/>
    </row>
    <row r="961" ht="14.25" customHeight="1">
      <c r="H961" s="1"/>
      <c r="I961" s="1"/>
      <c r="J961" s="1"/>
    </row>
    <row r="962" ht="14.25" customHeight="1">
      <c r="H962" s="1"/>
      <c r="I962" s="1"/>
      <c r="J962" s="1"/>
    </row>
    <row r="963" ht="14.25" customHeight="1">
      <c r="H963" s="1"/>
      <c r="I963" s="1"/>
      <c r="J963" s="1"/>
    </row>
    <row r="964" ht="14.25" customHeight="1">
      <c r="H964" s="1"/>
      <c r="I964" s="1"/>
      <c r="J964" s="1"/>
    </row>
    <row r="965" ht="14.25" customHeight="1">
      <c r="H965" s="1"/>
      <c r="I965" s="1"/>
      <c r="J965" s="1"/>
    </row>
    <row r="966" ht="14.25" customHeight="1">
      <c r="H966" s="1"/>
      <c r="I966" s="1"/>
      <c r="J966" s="1"/>
    </row>
    <row r="967" ht="14.25" customHeight="1">
      <c r="H967" s="1"/>
      <c r="I967" s="1"/>
      <c r="J967" s="1"/>
    </row>
    <row r="968" ht="14.25" customHeight="1">
      <c r="H968" s="1"/>
      <c r="I968" s="1"/>
      <c r="J968" s="1"/>
    </row>
    <row r="969" ht="14.25" customHeight="1">
      <c r="H969" s="1"/>
      <c r="I969" s="1"/>
      <c r="J969" s="1"/>
    </row>
    <row r="970" ht="14.25" customHeight="1">
      <c r="H970" s="1"/>
      <c r="I970" s="1"/>
      <c r="J970" s="1"/>
    </row>
    <row r="971" ht="14.25" customHeight="1">
      <c r="H971" s="1"/>
      <c r="I971" s="1"/>
      <c r="J971" s="1"/>
    </row>
    <row r="972" ht="14.25" customHeight="1">
      <c r="H972" s="1"/>
      <c r="I972" s="1"/>
      <c r="J972" s="1"/>
    </row>
    <row r="973" ht="14.25" customHeight="1">
      <c r="H973" s="1"/>
      <c r="I973" s="1"/>
      <c r="J973" s="1"/>
    </row>
    <row r="974" ht="14.25" customHeight="1">
      <c r="H974" s="1"/>
      <c r="I974" s="1"/>
      <c r="J974" s="1"/>
    </row>
    <row r="975" ht="14.25" customHeight="1">
      <c r="H975" s="1"/>
      <c r="I975" s="1"/>
      <c r="J975" s="1"/>
    </row>
    <row r="976" ht="14.25" customHeight="1">
      <c r="H976" s="1"/>
      <c r="I976" s="1"/>
      <c r="J976" s="1"/>
    </row>
    <row r="977" ht="14.25" customHeight="1">
      <c r="H977" s="1"/>
      <c r="I977" s="1"/>
      <c r="J977" s="1"/>
    </row>
    <row r="978" ht="14.25" customHeight="1">
      <c r="H978" s="1"/>
      <c r="I978" s="1"/>
      <c r="J978" s="1"/>
    </row>
    <row r="979" ht="14.25" customHeight="1">
      <c r="H979" s="1"/>
      <c r="I979" s="1"/>
      <c r="J979" s="1"/>
    </row>
    <row r="980" ht="14.25" customHeight="1">
      <c r="H980" s="1"/>
      <c r="I980" s="1"/>
      <c r="J980" s="1"/>
    </row>
    <row r="981" ht="14.25" customHeight="1">
      <c r="H981" s="1"/>
      <c r="I981" s="1"/>
      <c r="J981" s="1"/>
    </row>
    <row r="982" ht="14.25" customHeight="1">
      <c r="H982" s="1"/>
      <c r="I982" s="1"/>
      <c r="J982" s="1"/>
    </row>
    <row r="983" ht="14.25" customHeight="1">
      <c r="H983" s="1"/>
      <c r="I983" s="1"/>
      <c r="J983" s="1"/>
    </row>
    <row r="984" ht="14.25" customHeight="1">
      <c r="H984" s="1"/>
      <c r="I984" s="1"/>
      <c r="J984" s="1"/>
    </row>
    <row r="985" ht="14.25" customHeight="1">
      <c r="H985" s="1"/>
      <c r="I985" s="1"/>
      <c r="J985" s="1"/>
    </row>
    <row r="986" ht="14.25" customHeight="1">
      <c r="H986" s="1"/>
      <c r="I986" s="1"/>
      <c r="J986" s="1"/>
    </row>
    <row r="987" ht="14.25" customHeight="1">
      <c r="H987" s="1"/>
      <c r="I987" s="1"/>
      <c r="J987" s="1"/>
    </row>
    <row r="988" ht="14.25" customHeight="1">
      <c r="H988" s="1"/>
      <c r="I988" s="1"/>
      <c r="J988" s="1"/>
    </row>
    <row r="989" ht="14.25" customHeight="1">
      <c r="H989" s="1"/>
      <c r="I989" s="1"/>
      <c r="J989" s="1"/>
    </row>
    <row r="990" ht="14.25" customHeight="1">
      <c r="H990" s="1"/>
      <c r="I990" s="1"/>
      <c r="J990" s="1"/>
    </row>
    <row r="991" ht="14.25" customHeight="1">
      <c r="H991" s="1"/>
      <c r="I991" s="1"/>
      <c r="J991" s="1"/>
    </row>
    <row r="992" ht="14.25" customHeight="1">
      <c r="H992" s="1"/>
      <c r="I992" s="1"/>
      <c r="J992" s="1"/>
    </row>
    <row r="993" ht="14.25" customHeight="1">
      <c r="H993" s="1"/>
      <c r="I993" s="1"/>
      <c r="J993" s="1"/>
    </row>
    <row r="994" ht="14.25" customHeight="1">
      <c r="H994" s="1"/>
      <c r="I994" s="1"/>
      <c r="J994" s="1"/>
    </row>
    <row r="995" ht="14.25" customHeight="1">
      <c r="H995" s="1"/>
      <c r="I995" s="1"/>
      <c r="J995" s="1"/>
    </row>
    <row r="996" ht="14.25" customHeight="1">
      <c r="H996" s="1"/>
      <c r="I996" s="1"/>
      <c r="J996" s="1"/>
    </row>
    <row r="997" ht="14.25" customHeight="1">
      <c r="H997" s="1"/>
      <c r="I997" s="1"/>
      <c r="J997" s="1"/>
    </row>
    <row r="998" ht="14.25" customHeight="1">
      <c r="H998" s="1"/>
      <c r="I998" s="1"/>
      <c r="J998" s="1"/>
    </row>
    <row r="999" ht="14.25" customHeight="1">
      <c r="H999" s="1"/>
      <c r="I999" s="1"/>
      <c r="J999" s="1"/>
    </row>
    <row r="1000" ht="14.25" customHeight="1">
      <c r="H1000" s="1"/>
      <c r="I1000" s="1"/>
      <c r="J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5.13"/>
    <col customWidth="1" min="3" max="3" width="14.63"/>
    <col customWidth="1" min="4" max="4" width="18.75"/>
    <col customWidth="1" min="5" max="5" width="14.5"/>
    <col customWidth="1" min="6" max="6" width="10.0"/>
    <col customWidth="1" min="7" max="7" width="19.0"/>
    <col customWidth="1" min="8" max="8" width="28.25"/>
    <col customWidth="1" min="9" max="9" width="31.0"/>
    <col customWidth="1" min="10" max="10" width="17.25"/>
    <col customWidth="1" min="11" max="11" width="26.88"/>
    <col customWidth="1" min="12" max="12" width="18.88"/>
    <col customWidth="1" min="13" max="13" width="13.5"/>
    <col customWidth="1" min="14" max="14" width="22.0"/>
    <col customWidth="1" min="15" max="15" width="25.38"/>
  </cols>
  <sheetData>
    <row r="1" ht="22.5" customHeight="1">
      <c r="A1" s="26" t="s">
        <v>64</v>
      </c>
      <c r="B1" s="26" t="s">
        <v>65</v>
      </c>
      <c r="C1" s="26" t="s">
        <v>66</v>
      </c>
      <c r="D1" s="26" t="s">
        <v>67</v>
      </c>
      <c r="E1" s="26" t="s">
        <v>68</v>
      </c>
      <c r="F1" s="27" t="s">
        <v>69</v>
      </c>
      <c r="G1" s="26" t="s">
        <v>70</v>
      </c>
      <c r="H1" s="26" t="s">
        <v>71</v>
      </c>
      <c r="I1" s="26" t="s">
        <v>72</v>
      </c>
      <c r="J1" s="26" t="s">
        <v>73</v>
      </c>
      <c r="K1" s="26" t="s">
        <v>74</v>
      </c>
      <c r="L1" s="26" t="s">
        <v>75</v>
      </c>
      <c r="M1" s="26" t="s">
        <v>76</v>
      </c>
      <c r="N1" s="26" t="s">
        <v>77</v>
      </c>
      <c r="O1" s="26" t="s">
        <v>78</v>
      </c>
      <c r="P1" s="26" t="s">
        <v>79</v>
      </c>
      <c r="Q1" s="26" t="s">
        <v>80</v>
      </c>
      <c r="R1" s="26" t="s">
        <v>81</v>
      </c>
      <c r="S1" s="26" t="s">
        <v>82</v>
      </c>
      <c r="T1" s="26" t="s">
        <v>83</v>
      </c>
      <c r="U1" s="26" t="s">
        <v>84</v>
      </c>
      <c r="V1" s="26" t="s">
        <v>85</v>
      </c>
      <c r="W1" s="26" t="s">
        <v>86</v>
      </c>
      <c r="X1" s="26" t="s">
        <v>87</v>
      </c>
      <c r="Y1" s="26" t="s">
        <v>88</v>
      </c>
      <c r="Z1" s="26" t="s">
        <v>89</v>
      </c>
      <c r="AA1" s="26" t="s">
        <v>90</v>
      </c>
      <c r="AB1" s="26" t="s">
        <v>91</v>
      </c>
      <c r="AC1" s="26" t="s">
        <v>92</v>
      </c>
      <c r="AD1" s="26" t="s">
        <v>93</v>
      </c>
    </row>
    <row r="2" ht="22.5" customHeight="1">
      <c r="A2" s="28" t="s">
        <v>94</v>
      </c>
      <c r="B2" s="29" t="s">
        <v>95</v>
      </c>
      <c r="C2" s="30" t="s">
        <v>96</v>
      </c>
      <c r="D2" s="30" t="s">
        <v>97</v>
      </c>
      <c r="E2" s="31" t="s">
        <v>98</v>
      </c>
      <c r="F2" s="28"/>
      <c r="G2" s="32" t="s">
        <v>99</v>
      </c>
      <c r="H2" s="31">
        <v>0.0</v>
      </c>
      <c r="I2" s="33">
        <v>757.61</v>
      </c>
      <c r="J2" s="31" t="s">
        <v>100</v>
      </c>
      <c r="K2" s="31" t="s">
        <v>101</v>
      </c>
      <c r="L2" s="31" t="s">
        <v>102</v>
      </c>
      <c r="M2" s="30" t="s">
        <v>103</v>
      </c>
      <c r="N2" s="31" t="s">
        <v>104</v>
      </c>
      <c r="O2" s="31" t="s">
        <v>105</v>
      </c>
      <c r="P2" s="31" t="s">
        <v>106</v>
      </c>
      <c r="Q2" s="31" t="s">
        <v>107</v>
      </c>
      <c r="R2" s="31" t="s">
        <v>108</v>
      </c>
      <c r="S2" s="31" t="s">
        <v>109</v>
      </c>
      <c r="T2" s="31">
        <v>0.0</v>
      </c>
      <c r="U2" s="31">
        <v>0.0</v>
      </c>
      <c r="V2" s="31">
        <v>20.0</v>
      </c>
      <c r="W2" s="31" t="s">
        <v>110</v>
      </c>
      <c r="X2" s="31" t="s">
        <v>111</v>
      </c>
      <c r="Y2" s="31" t="s">
        <v>112</v>
      </c>
      <c r="Z2" s="31" t="s">
        <v>109</v>
      </c>
      <c r="AA2" s="31" t="s">
        <v>113</v>
      </c>
      <c r="AB2" s="34">
        <v>46203.0</v>
      </c>
      <c r="AC2" s="31" t="s">
        <v>114</v>
      </c>
      <c r="AD2" s="31">
        <v>100.0</v>
      </c>
    </row>
    <row r="3" ht="22.5" customHeight="1">
      <c r="A3" s="28" t="s">
        <v>115</v>
      </c>
      <c r="B3" s="29" t="s">
        <v>116</v>
      </c>
      <c r="C3" s="30" t="s">
        <v>96</v>
      </c>
      <c r="D3" s="30" t="s">
        <v>97</v>
      </c>
      <c r="E3" s="31" t="s">
        <v>98</v>
      </c>
      <c r="F3" s="28"/>
      <c r="G3" s="32" t="s">
        <v>99</v>
      </c>
      <c r="H3" s="31">
        <v>1.4</v>
      </c>
      <c r="I3" s="33">
        <v>73.66</v>
      </c>
      <c r="J3" s="31" t="s">
        <v>100</v>
      </c>
      <c r="K3" s="31" t="s">
        <v>117</v>
      </c>
      <c r="L3" s="31" t="s">
        <v>118</v>
      </c>
      <c r="M3" s="30" t="s">
        <v>103</v>
      </c>
      <c r="N3" s="31" t="s">
        <v>119</v>
      </c>
      <c r="O3" s="31" t="s">
        <v>120</v>
      </c>
      <c r="P3" s="31" t="s">
        <v>121</v>
      </c>
      <c r="Q3" s="31" t="s">
        <v>122</v>
      </c>
      <c r="R3" s="31" t="s">
        <v>123</v>
      </c>
      <c r="S3" s="31" t="s">
        <v>124</v>
      </c>
      <c r="T3" s="31">
        <v>500000.0</v>
      </c>
      <c r="U3" s="31">
        <v>100000.0</v>
      </c>
      <c r="V3" s="31">
        <v>15.0</v>
      </c>
      <c r="W3" s="31" t="s">
        <v>110</v>
      </c>
      <c r="X3" s="31" t="s">
        <v>125</v>
      </c>
      <c r="Y3" s="31" t="s">
        <v>112</v>
      </c>
      <c r="Z3" s="31" t="s">
        <v>126</v>
      </c>
      <c r="AA3" s="31" t="s">
        <v>127</v>
      </c>
      <c r="AB3" s="34">
        <v>46022.0</v>
      </c>
      <c r="AC3" s="31" t="s">
        <v>128</v>
      </c>
      <c r="AD3" s="31">
        <v>80.0</v>
      </c>
    </row>
    <row r="4" ht="22.5" customHeight="1">
      <c r="A4" s="28" t="s">
        <v>129</v>
      </c>
      <c r="B4" s="29" t="s">
        <v>130</v>
      </c>
      <c r="C4" s="30" t="s">
        <v>96</v>
      </c>
      <c r="D4" s="30" t="s">
        <v>97</v>
      </c>
      <c r="E4" s="31" t="s">
        <v>98</v>
      </c>
      <c r="F4" s="28"/>
      <c r="G4" s="32" t="s">
        <v>99</v>
      </c>
      <c r="H4" s="31">
        <v>3.4</v>
      </c>
      <c r="I4" s="33">
        <v>390.82</v>
      </c>
      <c r="J4" s="31" t="s">
        <v>100</v>
      </c>
      <c r="K4" s="31" t="s">
        <v>131</v>
      </c>
      <c r="L4" s="31" t="s">
        <v>118</v>
      </c>
      <c r="M4" s="30" t="s">
        <v>103</v>
      </c>
      <c r="N4" s="31" t="s">
        <v>132</v>
      </c>
      <c r="O4" s="31" t="s">
        <v>133</v>
      </c>
      <c r="P4" s="31" t="s">
        <v>134</v>
      </c>
      <c r="Q4" s="31" t="s">
        <v>107</v>
      </c>
      <c r="R4" s="31" t="s">
        <v>135</v>
      </c>
      <c r="S4" s="31" t="s">
        <v>109</v>
      </c>
      <c r="T4" s="31">
        <v>0.0</v>
      </c>
      <c r="U4" s="31">
        <v>0.0</v>
      </c>
      <c r="V4" s="31">
        <v>22.0</v>
      </c>
      <c r="W4" s="31" t="s">
        <v>110</v>
      </c>
      <c r="X4" s="31" t="s">
        <v>111</v>
      </c>
      <c r="Y4" s="31" t="s">
        <v>112</v>
      </c>
      <c r="Z4" s="31" t="s">
        <v>136</v>
      </c>
      <c r="AA4" s="31" t="s">
        <v>127</v>
      </c>
      <c r="AB4" s="34">
        <v>45962.0</v>
      </c>
      <c r="AC4" s="31" t="s">
        <v>137</v>
      </c>
      <c r="AD4" s="31">
        <v>100.0</v>
      </c>
    </row>
    <row r="5" ht="22.5" customHeight="1">
      <c r="A5" s="28" t="s">
        <v>138</v>
      </c>
      <c r="B5" s="29" t="s">
        <v>139</v>
      </c>
      <c r="C5" s="30" t="s">
        <v>96</v>
      </c>
      <c r="D5" s="30" t="s">
        <v>97</v>
      </c>
      <c r="E5" s="31" t="s">
        <v>98</v>
      </c>
      <c r="F5" s="28"/>
      <c r="G5" s="32" t="s">
        <v>99</v>
      </c>
      <c r="H5" s="31">
        <v>5.1</v>
      </c>
      <c r="I5" s="35">
        <v>292.81</v>
      </c>
      <c r="J5" s="31" t="s">
        <v>140</v>
      </c>
      <c r="K5" s="31"/>
      <c r="L5" s="36"/>
      <c r="M5" s="30" t="s">
        <v>103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4"/>
      <c r="AC5" s="31"/>
      <c r="AD5" s="31"/>
    </row>
    <row r="6" ht="22.5" customHeight="1">
      <c r="A6" s="31" t="s">
        <v>141</v>
      </c>
      <c r="B6" s="31" t="s">
        <v>142</v>
      </c>
      <c r="C6" s="30" t="s">
        <v>96</v>
      </c>
      <c r="D6" s="30" t="s">
        <v>97</v>
      </c>
      <c r="E6" s="31" t="s">
        <v>98</v>
      </c>
      <c r="F6" s="28"/>
      <c r="G6" s="32" t="s">
        <v>99</v>
      </c>
      <c r="H6" s="31">
        <v>0.3</v>
      </c>
      <c r="I6" s="33">
        <v>622.7</v>
      </c>
      <c r="J6" s="31" t="s">
        <v>100</v>
      </c>
      <c r="K6" s="31" t="s">
        <v>143</v>
      </c>
      <c r="L6" s="31" t="s">
        <v>144</v>
      </c>
      <c r="M6" s="30" t="s">
        <v>103</v>
      </c>
      <c r="N6" s="31" t="s">
        <v>145</v>
      </c>
      <c r="O6" s="31" t="s">
        <v>146</v>
      </c>
      <c r="P6" s="31" t="s">
        <v>147</v>
      </c>
      <c r="Q6" s="31" t="s">
        <v>148</v>
      </c>
      <c r="R6" s="31" t="s">
        <v>149</v>
      </c>
      <c r="S6" s="31" t="s">
        <v>150</v>
      </c>
      <c r="T6" s="31">
        <v>1000000.0</v>
      </c>
      <c r="U6" s="31">
        <v>200000.0</v>
      </c>
      <c r="V6" s="31">
        <v>18.0</v>
      </c>
      <c r="W6" s="31" t="s">
        <v>151</v>
      </c>
      <c r="X6" s="31" t="s">
        <v>125</v>
      </c>
      <c r="Y6" s="31" t="s">
        <v>152</v>
      </c>
      <c r="Z6" s="31" t="s">
        <v>153</v>
      </c>
      <c r="AA6" s="31" t="s">
        <v>154</v>
      </c>
      <c r="AB6" s="34">
        <v>46096.0</v>
      </c>
      <c r="AC6" s="31" t="s">
        <v>155</v>
      </c>
      <c r="AD6" s="31">
        <v>60.0</v>
      </c>
    </row>
    <row r="7" ht="22.5" customHeight="1">
      <c r="A7" s="28" t="s">
        <v>156</v>
      </c>
      <c r="B7" s="29" t="s">
        <v>157</v>
      </c>
      <c r="C7" s="37" t="s">
        <v>96</v>
      </c>
      <c r="D7" s="30" t="s">
        <v>97</v>
      </c>
      <c r="E7" s="31" t="s">
        <v>98</v>
      </c>
      <c r="F7" s="28" t="s">
        <v>158</v>
      </c>
      <c r="G7" s="32" t="s">
        <v>99</v>
      </c>
      <c r="H7" s="38">
        <v>1.8</v>
      </c>
      <c r="I7" s="35">
        <v>169.42</v>
      </c>
      <c r="J7" s="31" t="s">
        <v>100</v>
      </c>
      <c r="K7" s="38"/>
      <c r="L7" s="39"/>
      <c r="M7" s="37" t="s">
        <v>103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40"/>
      <c r="AC7" s="38"/>
      <c r="AD7" s="38"/>
    </row>
    <row r="8" ht="22.5" customHeight="1">
      <c r="A8" s="28" t="s">
        <v>159</v>
      </c>
      <c r="B8" s="29" t="s">
        <v>160</v>
      </c>
      <c r="C8" s="30" t="s">
        <v>96</v>
      </c>
      <c r="D8" s="30" t="s">
        <v>97</v>
      </c>
      <c r="E8" s="31" t="s">
        <v>161</v>
      </c>
      <c r="F8" s="28" t="s">
        <v>162</v>
      </c>
      <c r="G8" s="32" t="s">
        <v>99</v>
      </c>
      <c r="H8" s="31">
        <v>4.3</v>
      </c>
      <c r="I8" s="35">
        <v>2872.19</v>
      </c>
      <c r="J8" s="31" t="s">
        <v>140</v>
      </c>
      <c r="K8" s="31" t="s">
        <v>163</v>
      </c>
      <c r="L8" s="31" t="s">
        <v>118</v>
      </c>
      <c r="M8" s="37" t="s">
        <v>164</v>
      </c>
      <c r="N8" s="31" t="s">
        <v>165</v>
      </c>
      <c r="O8" s="31" t="s">
        <v>166</v>
      </c>
      <c r="P8" s="31" t="s">
        <v>167</v>
      </c>
      <c r="Q8" s="31" t="s">
        <v>168</v>
      </c>
      <c r="R8" s="31" t="s">
        <v>169</v>
      </c>
      <c r="S8" s="31" t="s">
        <v>170</v>
      </c>
      <c r="T8" s="31">
        <v>750000.0</v>
      </c>
      <c r="U8" s="31">
        <v>150000.0</v>
      </c>
      <c r="V8" s="31">
        <v>17.0</v>
      </c>
      <c r="W8" s="31" t="s">
        <v>151</v>
      </c>
      <c r="X8" s="31" t="s">
        <v>125</v>
      </c>
      <c r="Y8" s="31" t="s">
        <v>152</v>
      </c>
      <c r="Z8" s="31" t="s">
        <v>171</v>
      </c>
      <c r="AA8" s="31" t="s">
        <v>113</v>
      </c>
      <c r="AB8" s="34">
        <v>46053.0</v>
      </c>
      <c r="AC8" s="31" t="s">
        <v>172</v>
      </c>
      <c r="AD8" s="31">
        <v>50.0</v>
      </c>
    </row>
    <row r="9" ht="22.5" customHeight="1">
      <c r="A9" s="28" t="s">
        <v>173</v>
      </c>
      <c r="B9" s="29" t="s">
        <v>174</v>
      </c>
      <c r="C9" s="37" t="s">
        <v>96</v>
      </c>
      <c r="D9" s="30" t="s">
        <v>97</v>
      </c>
      <c r="E9" s="31" t="s">
        <v>161</v>
      </c>
      <c r="F9" s="28" t="s">
        <v>175</v>
      </c>
      <c r="G9" s="32" t="s">
        <v>99</v>
      </c>
      <c r="H9" s="38">
        <v>3.8</v>
      </c>
      <c r="I9" s="35">
        <v>1173.2</v>
      </c>
      <c r="J9" s="31" t="s">
        <v>140</v>
      </c>
      <c r="K9" s="38" t="s">
        <v>176</v>
      </c>
      <c r="L9" s="39"/>
      <c r="M9" s="37" t="s">
        <v>164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40"/>
      <c r="AC9" s="38"/>
      <c r="AD9" s="38"/>
    </row>
    <row r="10" ht="22.5" customHeight="1">
      <c r="A10" s="28" t="s">
        <v>177</v>
      </c>
      <c r="B10" s="28" t="s">
        <v>178</v>
      </c>
      <c r="C10" s="37" t="s">
        <v>179</v>
      </c>
      <c r="D10" s="37" t="s">
        <v>180</v>
      </c>
      <c r="E10" s="31" t="s">
        <v>98</v>
      </c>
      <c r="F10" s="28"/>
      <c r="G10" s="32" t="s">
        <v>99</v>
      </c>
      <c r="H10" s="38">
        <v>0.1</v>
      </c>
      <c r="I10" s="41">
        <v>295.5</v>
      </c>
      <c r="J10" s="31" t="s">
        <v>100</v>
      </c>
      <c r="K10" s="38"/>
      <c r="L10" s="39"/>
      <c r="M10" s="30" t="s">
        <v>181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40"/>
      <c r="AC10" s="38"/>
      <c r="AD10" s="38"/>
    </row>
    <row r="11" ht="22.5" customHeight="1">
      <c r="A11" s="28" t="s">
        <v>182</v>
      </c>
      <c r="B11" s="28" t="s">
        <v>183</v>
      </c>
      <c r="C11" s="37" t="s">
        <v>179</v>
      </c>
      <c r="D11" s="37" t="s">
        <v>180</v>
      </c>
      <c r="E11" s="31" t="s">
        <v>98</v>
      </c>
      <c r="F11" s="28"/>
      <c r="G11" s="32" t="s">
        <v>99</v>
      </c>
      <c r="H11" s="38">
        <v>3.0</v>
      </c>
      <c r="I11" s="41">
        <v>267.51</v>
      </c>
      <c r="J11" s="31" t="s">
        <v>140</v>
      </c>
      <c r="K11" s="38"/>
      <c r="L11" s="39"/>
      <c r="M11" s="30" t="s">
        <v>181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40"/>
      <c r="AC11" s="38"/>
      <c r="AD11" s="38"/>
    </row>
    <row r="12" ht="22.5" customHeight="1">
      <c r="A12" s="28" t="s">
        <v>184</v>
      </c>
      <c r="B12" s="28" t="s">
        <v>185</v>
      </c>
      <c r="C12" s="37" t="s">
        <v>179</v>
      </c>
      <c r="D12" s="30" t="s">
        <v>186</v>
      </c>
      <c r="E12" s="31" t="s">
        <v>98</v>
      </c>
      <c r="F12" s="28" t="s">
        <v>187</v>
      </c>
      <c r="G12" s="32" t="s">
        <v>99</v>
      </c>
      <c r="H12" s="38">
        <v>2.8</v>
      </c>
      <c r="I12" s="35">
        <v>391.02</v>
      </c>
      <c r="J12" s="31" t="s">
        <v>100</v>
      </c>
      <c r="K12" s="38"/>
      <c r="L12" s="39"/>
      <c r="M12" s="30" t="s">
        <v>181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40"/>
      <c r="AC12" s="38"/>
      <c r="AD12" s="38"/>
    </row>
    <row r="13" ht="22.5" customHeight="1">
      <c r="A13" s="28" t="s">
        <v>188</v>
      </c>
      <c r="B13" s="28" t="s">
        <v>189</v>
      </c>
      <c r="C13" s="37" t="s">
        <v>179</v>
      </c>
      <c r="D13" s="30" t="s">
        <v>186</v>
      </c>
      <c r="E13" s="31" t="s">
        <v>98</v>
      </c>
      <c r="F13" s="28" t="s">
        <v>190</v>
      </c>
      <c r="G13" s="32" t="s">
        <v>99</v>
      </c>
      <c r="H13" s="38">
        <v>4.3</v>
      </c>
      <c r="I13" s="35">
        <v>199.16</v>
      </c>
      <c r="J13" s="31" t="s">
        <v>100</v>
      </c>
      <c r="K13" s="38"/>
      <c r="L13" s="39"/>
      <c r="M13" s="30" t="s">
        <v>181</v>
      </c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40"/>
      <c r="AC13" s="38"/>
      <c r="AD13" s="38"/>
    </row>
    <row r="14" ht="22.5" customHeight="1">
      <c r="A14" s="29" t="s">
        <v>191</v>
      </c>
      <c r="B14" s="29" t="s">
        <v>192</v>
      </c>
      <c r="C14" s="37" t="s">
        <v>179</v>
      </c>
      <c r="D14" s="37" t="s">
        <v>193</v>
      </c>
      <c r="E14" s="31" t="s">
        <v>98</v>
      </c>
      <c r="F14" s="28"/>
      <c r="G14" s="32" t="s">
        <v>99</v>
      </c>
      <c r="H14" s="38">
        <v>4.7</v>
      </c>
      <c r="I14" s="35"/>
      <c r="J14" s="38" t="s">
        <v>100</v>
      </c>
      <c r="K14" s="38"/>
      <c r="L14" s="39"/>
      <c r="M14" s="30" t="s">
        <v>181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40"/>
      <c r="AC14" s="38"/>
      <c r="AD14" s="38"/>
    </row>
    <row r="19">
      <c r="E19" s="42"/>
      <c r="F19" s="42"/>
      <c r="G19" s="42"/>
      <c r="H19" s="42"/>
      <c r="I19" s="42"/>
      <c r="J19" s="42"/>
    </row>
    <row r="20">
      <c r="E20" s="42"/>
      <c r="F20" s="42"/>
      <c r="G20" s="42"/>
      <c r="H20" s="42"/>
      <c r="I20" s="42"/>
      <c r="J20" s="42"/>
    </row>
    <row r="21">
      <c r="E21" s="42"/>
      <c r="F21" s="42"/>
      <c r="G21" s="42"/>
      <c r="H21" s="42"/>
      <c r="I21" s="42"/>
      <c r="J21" s="42"/>
    </row>
    <row r="22">
      <c r="E22" s="42"/>
      <c r="F22" s="42"/>
      <c r="G22" s="42"/>
      <c r="H22" s="42"/>
      <c r="I22" s="42"/>
      <c r="J22" s="42"/>
    </row>
    <row r="23">
      <c r="E23" s="42"/>
      <c r="F23" s="42"/>
      <c r="G23" s="42"/>
      <c r="H23" s="42"/>
      <c r="I23" s="42"/>
      <c r="J23" s="42"/>
    </row>
    <row r="24">
      <c r="E24" s="42"/>
      <c r="F24" s="42"/>
      <c r="G24" s="42"/>
      <c r="H24" s="42"/>
      <c r="I24" s="42"/>
      <c r="J24" s="42"/>
    </row>
    <row r="25">
      <c r="E25" s="42"/>
      <c r="F25" s="42"/>
      <c r="G25" s="42"/>
      <c r="H25" s="42"/>
      <c r="I25" s="42"/>
      <c r="J25" s="42"/>
    </row>
    <row r="26">
      <c r="E26" s="42"/>
      <c r="F26" s="42"/>
      <c r="G26" s="42"/>
      <c r="H26" s="42"/>
      <c r="I26" s="42"/>
      <c r="J26" s="42"/>
    </row>
    <row r="27">
      <c r="E27" s="42"/>
      <c r="F27" s="42"/>
      <c r="G27" s="42"/>
      <c r="H27" s="42"/>
      <c r="I27" s="42"/>
      <c r="J27" s="42"/>
    </row>
    <row r="28">
      <c r="E28" s="42"/>
      <c r="F28" s="42"/>
      <c r="G28" s="42"/>
      <c r="H28" s="42"/>
      <c r="I28" s="42"/>
      <c r="J28" s="42"/>
    </row>
    <row r="29">
      <c r="E29" s="42"/>
      <c r="F29" s="42"/>
      <c r="G29" s="42"/>
      <c r="H29" s="42"/>
      <c r="I29" s="42"/>
      <c r="J29" s="42"/>
    </row>
    <row r="30">
      <c r="E30" s="42"/>
      <c r="F30" s="42"/>
      <c r="G30" s="42"/>
      <c r="H30" s="42"/>
      <c r="I30" s="42"/>
      <c r="J30" s="42"/>
    </row>
    <row r="31">
      <c r="E31" s="42"/>
      <c r="F31" s="42"/>
      <c r="G31" s="42"/>
      <c r="H31" s="42"/>
      <c r="I31" s="42"/>
      <c r="J31" s="42"/>
    </row>
    <row r="32">
      <c r="E32" s="42"/>
      <c r="F32" s="42"/>
      <c r="G32" s="42"/>
      <c r="H32" s="42"/>
      <c r="I32" s="42"/>
      <c r="J32" s="42"/>
    </row>
    <row r="33">
      <c r="E33" s="42"/>
      <c r="F33" s="42"/>
      <c r="G33" s="42"/>
      <c r="H33" s="42"/>
      <c r="I33" s="42"/>
      <c r="J33" s="42"/>
    </row>
    <row r="34">
      <c r="E34" s="42"/>
      <c r="F34" s="42"/>
      <c r="G34" s="42"/>
      <c r="H34" s="42"/>
      <c r="I34" s="42"/>
      <c r="J34" s="42"/>
    </row>
  </sheetData>
  <dataValidations>
    <dataValidation type="list" allowBlank="1" sqref="M2:M14">
      <formula1>"Solar,None,Eskom"</formula1>
    </dataValidation>
    <dataValidation type="list" allowBlank="1" sqref="L2:L14">
      <formula1>"River,Borehole,Dam"</formula1>
    </dataValidation>
    <dataValidation type="custom" allowBlank="1" showDropDown="1" sqref="AB2:AB14">
      <formula1>OR(NOT(ISERROR(DATEVALUE(AB2))), AND(ISNUMBER(AB2), LEFT(CELL("format", AB2))="D"))</formula1>
    </dataValidation>
    <dataValidation type="list" allowBlank="1" sqref="J2:J14">
      <formula1>"Rooibos,Livestock,WIne,Buchu"</formula1>
    </dataValidation>
    <dataValidation type="custom" allowBlank="1" showDropDown="1" sqref="I2:I14">
      <formula1>AND(ISNUMBER(I2),(NOT(OR(NOT(ISERROR(DATEVALUE(I2))), AND(ISNUMBER(I2), LEFT(CELL("format", I2))="D")))))</formula1>
    </dataValidation>
    <dataValidation type="list" allowBlank="1" sqref="D2:D14">
      <formula1>"Own,Occupation,Negotiating,No Offer"</formula1>
    </dataValidation>
    <dataValidation type="list" allowBlank="1" sqref="C2:C14">
      <formula1>"Operating,Prospective"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</hyperlinks>
  <drawing r:id="rId14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3.38"/>
  </cols>
  <sheetData>
    <row r="1" ht="22.5" customHeight="1">
      <c r="A1" s="43" t="s">
        <v>194</v>
      </c>
      <c r="B1" s="43" t="s">
        <v>195</v>
      </c>
      <c r="C1" s="43" t="s">
        <v>196</v>
      </c>
      <c r="D1" s="43" t="s">
        <v>69</v>
      </c>
      <c r="E1" s="43" t="s">
        <v>72</v>
      </c>
      <c r="F1" s="43" t="s">
        <v>197</v>
      </c>
      <c r="G1" s="43" t="s">
        <v>198</v>
      </c>
      <c r="H1" s="43" t="s">
        <v>199</v>
      </c>
      <c r="I1" s="43" t="s">
        <v>200</v>
      </c>
      <c r="J1" s="43" t="s">
        <v>201</v>
      </c>
      <c r="K1" s="43" t="s">
        <v>202</v>
      </c>
      <c r="L1" s="43" t="s">
        <v>203</v>
      </c>
      <c r="M1" s="43" t="s">
        <v>204</v>
      </c>
      <c r="N1" s="43" t="s">
        <v>75</v>
      </c>
      <c r="O1" s="43" t="s">
        <v>205</v>
      </c>
      <c r="P1" s="43" t="s">
        <v>206</v>
      </c>
      <c r="Q1" s="43" t="s">
        <v>87</v>
      </c>
      <c r="R1" s="43" t="s">
        <v>207</v>
      </c>
      <c r="S1" s="43" t="s">
        <v>89</v>
      </c>
      <c r="T1" s="43" t="s">
        <v>208</v>
      </c>
      <c r="U1" s="43" t="s">
        <v>209</v>
      </c>
      <c r="V1" s="43" t="s">
        <v>92</v>
      </c>
      <c r="W1" s="43" t="s">
        <v>210</v>
      </c>
    </row>
    <row r="2" ht="22.5" customHeight="1">
      <c r="A2" s="44" t="s">
        <v>211</v>
      </c>
      <c r="B2" s="44" t="s">
        <v>116</v>
      </c>
      <c r="C2" s="44" t="s">
        <v>212</v>
      </c>
      <c r="D2" s="44" t="s">
        <v>213</v>
      </c>
      <c r="E2" s="45">
        <v>25.0</v>
      </c>
      <c r="F2" s="45">
        <v>2000.0</v>
      </c>
      <c r="G2" s="44" t="s">
        <v>100</v>
      </c>
      <c r="H2" s="44" t="s">
        <v>214</v>
      </c>
      <c r="I2" s="46">
        <v>45726.0</v>
      </c>
      <c r="J2" s="46">
        <v>46068.0</v>
      </c>
      <c r="K2" s="44" t="s">
        <v>215</v>
      </c>
      <c r="L2" s="44" t="s">
        <v>216</v>
      </c>
      <c r="M2" s="44" t="s">
        <v>217</v>
      </c>
      <c r="N2" s="44" t="s">
        <v>118</v>
      </c>
      <c r="O2" s="44" t="s">
        <v>218</v>
      </c>
      <c r="P2" s="47" t="s">
        <v>111</v>
      </c>
      <c r="Q2" s="47" t="s">
        <v>111</v>
      </c>
      <c r="R2" s="44" t="s">
        <v>219</v>
      </c>
      <c r="S2" s="44" t="s">
        <v>220</v>
      </c>
      <c r="T2" s="44" t="s">
        <v>127</v>
      </c>
      <c r="U2" s="44" t="s">
        <v>221</v>
      </c>
      <c r="V2" s="44" t="s">
        <v>222</v>
      </c>
      <c r="W2" s="45">
        <v>34.0</v>
      </c>
    </row>
    <row r="3" ht="22.5" customHeight="1">
      <c r="A3" s="44" t="s">
        <v>223</v>
      </c>
      <c r="B3" s="44" t="s">
        <v>95</v>
      </c>
      <c r="C3" s="44" t="s">
        <v>224</v>
      </c>
      <c r="D3" s="44" t="s">
        <v>225</v>
      </c>
      <c r="E3" s="45">
        <v>150.0</v>
      </c>
      <c r="F3" s="45">
        <v>5500.0</v>
      </c>
      <c r="G3" s="44" t="s">
        <v>226</v>
      </c>
      <c r="H3" s="44" t="s">
        <v>227</v>
      </c>
      <c r="I3" s="44" t="s">
        <v>109</v>
      </c>
      <c r="J3" s="44" t="s">
        <v>109</v>
      </c>
      <c r="K3" s="44" t="s">
        <v>228</v>
      </c>
      <c r="L3" s="44" t="s">
        <v>105</v>
      </c>
      <c r="M3" s="44" t="s">
        <v>164</v>
      </c>
      <c r="N3" s="44" t="s">
        <v>102</v>
      </c>
      <c r="O3" s="44" t="s">
        <v>229</v>
      </c>
      <c r="P3" s="47" t="s">
        <v>111</v>
      </c>
      <c r="Q3" s="47" t="s">
        <v>111</v>
      </c>
      <c r="R3" s="44" t="s">
        <v>230</v>
      </c>
      <c r="S3" s="44" t="s">
        <v>231</v>
      </c>
      <c r="T3" s="44" t="s">
        <v>113</v>
      </c>
      <c r="U3" s="44" t="s">
        <v>221</v>
      </c>
      <c r="V3" s="44" t="s">
        <v>232</v>
      </c>
      <c r="W3" s="45">
        <v>19.8</v>
      </c>
    </row>
    <row r="4" ht="22.5" customHeight="1">
      <c r="A4" s="44" t="s">
        <v>233</v>
      </c>
      <c r="B4" s="44" t="s">
        <v>234</v>
      </c>
      <c r="C4" s="44" t="s">
        <v>235</v>
      </c>
      <c r="D4" s="44" t="s">
        <v>236</v>
      </c>
      <c r="E4" s="45">
        <v>15.0</v>
      </c>
      <c r="F4" s="45">
        <v>1200.0</v>
      </c>
      <c r="G4" s="44" t="s">
        <v>237</v>
      </c>
      <c r="H4" s="44" t="s">
        <v>214</v>
      </c>
      <c r="I4" s="46">
        <v>45139.0</v>
      </c>
      <c r="J4" s="46">
        <v>46082.0</v>
      </c>
      <c r="K4" s="44" t="s">
        <v>238</v>
      </c>
      <c r="L4" s="44" t="s">
        <v>146</v>
      </c>
      <c r="M4" s="44" t="s">
        <v>217</v>
      </c>
      <c r="N4" s="44" t="s">
        <v>181</v>
      </c>
      <c r="O4" s="44" t="s">
        <v>239</v>
      </c>
      <c r="P4" s="47" t="s">
        <v>240</v>
      </c>
      <c r="Q4" s="47" t="s">
        <v>240</v>
      </c>
      <c r="R4" s="44" t="s">
        <v>241</v>
      </c>
      <c r="S4" s="44" t="s">
        <v>242</v>
      </c>
      <c r="T4" s="44" t="s">
        <v>243</v>
      </c>
      <c r="U4" s="44" t="s">
        <v>221</v>
      </c>
      <c r="V4" s="44" t="s">
        <v>244</v>
      </c>
      <c r="W4" s="45">
        <v>3.8</v>
      </c>
    </row>
    <row r="5" ht="22.5" customHeight="1">
      <c r="A5" s="44" t="s">
        <v>245</v>
      </c>
      <c r="B5" s="44" t="s">
        <v>246</v>
      </c>
      <c r="C5" s="44" t="s">
        <v>247</v>
      </c>
      <c r="D5" s="44" t="s">
        <v>248</v>
      </c>
      <c r="E5" s="45">
        <v>100.0</v>
      </c>
      <c r="F5" s="45">
        <v>4000.0</v>
      </c>
      <c r="G5" s="44" t="s">
        <v>249</v>
      </c>
      <c r="H5" s="44" t="s">
        <v>214</v>
      </c>
      <c r="I5" s="46">
        <v>45778.0</v>
      </c>
      <c r="J5" s="46">
        <v>45981.0</v>
      </c>
      <c r="K5" s="44" t="s">
        <v>250</v>
      </c>
      <c r="L5" s="44" t="s">
        <v>146</v>
      </c>
      <c r="M5" s="44" t="s">
        <v>251</v>
      </c>
      <c r="N5" s="44" t="s">
        <v>144</v>
      </c>
      <c r="O5" s="44" t="s">
        <v>252</v>
      </c>
      <c r="P5" s="47" t="s">
        <v>240</v>
      </c>
      <c r="Q5" s="47" t="s">
        <v>240</v>
      </c>
      <c r="R5" s="44" t="s">
        <v>253</v>
      </c>
      <c r="S5" s="44" t="s">
        <v>254</v>
      </c>
      <c r="T5" s="44" t="s">
        <v>154</v>
      </c>
      <c r="U5" s="44" t="s">
        <v>221</v>
      </c>
      <c r="V5" s="44" t="s">
        <v>255</v>
      </c>
      <c r="W5" s="45">
        <v>16.0</v>
      </c>
    </row>
    <row r="6" ht="22.5" customHeight="1">
      <c r="A6" s="44" t="s">
        <v>256</v>
      </c>
      <c r="B6" s="44" t="s">
        <v>257</v>
      </c>
      <c r="C6" s="44" t="s">
        <v>258</v>
      </c>
      <c r="D6" s="44" t="s">
        <v>259</v>
      </c>
      <c r="E6" s="45">
        <v>50.0</v>
      </c>
      <c r="F6" s="45">
        <v>3000.0</v>
      </c>
      <c r="G6" s="44" t="s">
        <v>260</v>
      </c>
      <c r="H6" s="44" t="s">
        <v>260</v>
      </c>
      <c r="I6" s="44" t="s">
        <v>109</v>
      </c>
      <c r="J6" s="44" t="s">
        <v>109</v>
      </c>
      <c r="K6" s="44" t="s">
        <v>109</v>
      </c>
      <c r="L6" s="44" t="s">
        <v>261</v>
      </c>
      <c r="M6" s="44" t="s">
        <v>164</v>
      </c>
      <c r="N6" s="44" t="s">
        <v>262</v>
      </c>
      <c r="O6" s="44" t="s">
        <v>263</v>
      </c>
      <c r="P6" s="47" t="s">
        <v>264</v>
      </c>
      <c r="Q6" s="47" t="s">
        <v>264</v>
      </c>
      <c r="R6" s="44" t="s">
        <v>265</v>
      </c>
      <c r="S6" s="44" t="s">
        <v>266</v>
      </c>
      <c r="T6" s="44" t="s">
        <v>113</v>
      </c>
      <c r="U6" s="44" t="s">
        <v>221</v>
      </c>
      <c r="V6" s="44" t="s">
        <v>267</v>
      </c>
      <c r="W6" s="45">
        <v>20.0</v>
      </c>
    </row>
    <row r="7" ht="22.5" customHeight="1">
      <c r="A7" s="44" t="s">
        <v>268</v>
      </c>
      <c r="B7" s="44" t="s">
        <v>116</v>
      </c>
      <c r="C7" s="44" t="s">
        <v>269</v>
      </c>
      <c r="D7" s="44" t="s">
        <v>270</v>
      </c>
      <c r="E7" s="45">
        <v>10.0</v>
      </c>
      <c r="F7" s="45">
        <v>1000.0</v>
      </c>
      <c r="G7" s="44" t="s">
        <v>100</v>
      </c>
      <c r="H7" s="44" t="s">
        <v>271</v>
      </c>
      <c r="I7" s="46">
        <v>46082.0</v>
      </c>
      <c r="J7" s="46">
        <v>46419.0</v>
      </c>
      <c r="K7" s="44" t="s">
        <v>272</v>
      </c>
      <c r="L7" s="44" t="s">
        <v>216</v>
      </c>
      <c r="M7" s="44" t="s">
        <v>217</v>
      </c>
      <c r="N7" s="44" t="s">
        <v>118</v>
      </c>
      <c r="O7" s="44" t="s">
        <v>273</v>
      </c>
      <c r="P7" s="47" t="s">
        <v>111</v>
      </c>
      <c r="Q7" s="47" t="s">
        <v>111</v>
      </c>
      <c r="R7" s="44" t="s">
        <v>274</v>
      </c>
      <c r="S7" s="44" t="s">
        <v>275</v>
      </c>
      <c r="T7" s="44" t="s">
        <v>127</v>
      </c>
      <c r="U7" s="44" t="s">
        <v>221</v>
      </c>
      <c r="V7" s="44" t="s">
        <v>276</v>
      </c>
      <c r="W7" s="45">
        <v>13.6</v>
      </c>
    </row>
    <row r="8" ht="22.5" customHeight="1">
      <c r="A8" s="44" t="s">
        <v>277</v>
      </c>
      <c r="B8" s="44" t="s">
        <v>95</v>
      </c>
      <c r="C8" s="44" t="s">
        <v>278</v>
      </c>
      <c r="D8" s="44" t="s">
        <v>279</v>
      </c>
      <c r="E8" s="45">
        <v>200.0</v>
      </c>
      <c r="F8" s="45">
        <v>6500.0</v>
      </c>
      <c r="G8" s="44" t="s">
        <v>226</v>
      </c>
      <c r="H8" s="44" t="s">
        <v>227</v>
      </c>
      <c r="I8" s="44" t="s">
        <v>109</v>
      </c>
      <c r="J8" s="44" t="s">
        <v>109</v>
      </c>
      <c r="K8" s="44" t="s">
        <v>280</v>
      </c>
      <c r="L8" s="44" t="s">
        <v>105</v>
      </c>
      <c r="M8" s="44" t="s">
        <v>164</v>
      </c>
      <c r="N8" s="44" t="s">
        <v>102</v>
      </c>
      <c r="O8" s="44" t="s">
        <v>281</v>
      </c>
      <c r="P8" s="47" t="s">
        <v>111</v>
      </c>
      <c r="Q8" s="47" t="s">
        <v>111</v>
      </c>
      <c r="R8" s="44" t="s">
        <v>282</v>
      </c>
      <c r="S8" s="44" t="s">
        <v>283</v>
      </c>
      <c r="T8" s="44" t="s">
        <v>113</v>
      </c>
      <c r="U8" s="44" t="s">
        <v>221</v>
      </c>
      <c r="V8" s="44" t="s">
        <v>284</v>
      </c>
      <c r="W8" s="45">
        <v>26.4</v>
      </c>
    </row>
    <row r="9" ht="22.5" customHeight="1">
      <c r="A9" s="44" t="s">
        <v>285</v>
      </c>
      <c r="B9" s="44" t="s">
        <v>234</v>
      </c>
      <c r="C9" s="44" t="s">
        <v>286</v>
      </c>
      <c r="D9" s="44" t="s">
        <v>287</v>
      </c>
      <c r="E9" s="45">
        <v>20.0</v>
      </c>
      <c r="F9" s="45">
        <v>1500.0</v>
      </c>
      <c r="G9" s="44" t="s">
        <v>237</v>
      </c>
      <c r="H9" s="44" t="s">
        <v>288</v>
      </c>
      <c r="I9" s="46">
        <v>45488.0</v>
      </c>
      <c r="J9" s="46">
        <v>45721.0</v>
      </c>
      <c r="K9" s="44" t="s">
        <v>289</v>
      </c>
      <c r="L9" s="44" t="s">
        <v>133</v>
      </c>
      <c r="M9" s="44" t="s">
        <v>217</v>
      </c>
      <c r="N9" s="44" t="s">
        <v>181</v>
      </c>
      <c r="O9" s="44" t="s">
        <v>290</v>
      </c>
      <c r="P9" s="47" t="s">
        <v>111</v>
      </c>
      <c r="Q9" s="47" t="s">
        <v>111</v>
      </c>
      <c r="R9" s="44" t="s">
        <v>291</v>
      </c>
      <c r="S9" s="44" t="s">
        <v>292</v>
      </c>
      <c r="T9" s="44" t="s">
        <v>243</v>
      </c>
      <c r="U9" s="44" t="s">
        <v>221</v>
      </c>
      <c r="V9" s="44" t="s">
        <v>293</v>
      </c>
      <c r="W9" s="45">
        <v>5.1</v>
      </c>
    </row>
    <row r="10" ht="22.5" customHeight="1">
      <c r="A10" s="44" t="s">
        <v>294</v>
      </c>
      <c r="B10" s="44" t="s">
        <v>246</v>
      </c>
      <c r="C10" s="44" t="s">
        <v>295</v>
      </c>
      <c r="D10" s="44" t="s">
        <v>296</v>
      </c>
      <c r="E10" s="45">
        <v>20.0</v>
      </c>
      <c r="F10" s="45">
        <v>800.0</v>
      </c>
      <c r="G10" s="44" t="s">
        <v>297</v>
      </c>
      <c r="H10" s="44" t="s">
        <v>214</v>
      </c>
      <c r="I10" s="46">
        <v>45323.0</v>
      </c>
      <c r="J10" s="46">
        <v>45950.0</v>
      </c>
      <c r="K10" s="44" t="s">
        <v>250</v>
      </c>
      <c r="L10" s="44" t="s">
        <v>105</v>
      </c>
      <c r="M10" s="44" t="s">
        <v>298</v>
      </c>
      <c r="N10" s="44" t="s">
        <v>144</v>
      </c>
      <c r="O10" s="44" t="s">
        <v>299</v>
      </c>
      <c r="P10" s="47" t="s">
        <v>111</v>
      </c>
      <c r="Q10" s="47" t="s">
        <v>240</v>
      </c>
      <c r="R10" s="44" t="s">
        <v>300</v>
      </c>
      <c r="S10" s="44" t="s">
        <v>254</v>
      </c>
      <c r="T10" s="44" t="s">
        <v>154</v>
      </c>
      <c r="U10" s="44" t="s">
        <v>221</v>
      </c>
      <c r="V10" s="44" t="s">
        <v>301</v>
      </c>
      <c r="W10" s="45">
        <v>3.2</v>
      </c>
    </row>
    <row r="11" ht="22.5" customHeight="1">
      <c r="A11" s="44" t="s">
        <v>302</v>
      </c>
      <c r="B11" s="44" t="s">
        <v>116</v>
      </c>
      <c r="C11" s="44" t="s">
        <v>303</v>
      </c>
      <c r="D11" s="44" t="s">
        <v>304</v>
      </c>
      <c r="E11" s="45">
        <v>15.0</v>
      </c>
      <c r="F11" s="45">
        <v>1500.0</v>
      </c>
      <c r="G11" s="44" t="s">
        <v>305</v>
      </c>
      <c r="H11" s="44" t="s">
        <v>260</v>
      </c>
      <c r="I11" s="44" t="s">
        <v>109</v>
      </c>
      <c r="J11" s="44" t="s">
        <v>109</v>
      </c>
      <c r="K11" s="44" t="s">
        <v>109</v>
      </c>
      <c r="L11" s="44" t="s">
        <v>306</v>
      </c>
      <c r="M11" s="44" t="s">
        <v>164</v>
      </c>
      <c r="N11" s="44" t="s">
        <v>102</v>
      </c>
      <c r="O11" s="44" t="s">
        <v>307</v>
      </c>
      <c r="P11" s="47" t="s">
        <v>240</v>
      </c>
      <c r="Q11" s="47" t="s">
        <v>240</v>
      </c>
      <c r="R11" s="44" t="s">
        <v>308</v>
      </c>
      <c r="S11" s="44" t="s">
        <v>309</v>
      </c>
      <c r="T11" s="44" t="s">
        <v>127</v>
      </c>
      <c r="U11" s="44" t="s">
        <v>221</v>
      </c>
      <c r="V11" s="44" t="s">
        <v>310</v>
      </c>
      <c r="W11" s="45">
        <v>20.4</v>
      </c>
    </row>
  </sheetData>
  <dataValidations>
    <dataValidation type="list" allowBlank="1" sqref="P2:P11">
      <formula1>"Low,Low,Medium,Medium,High,Low,Low,Low,Low,Medium"</formula1>
    </dataValidation>
    <dataValidation type="list" allowBlank="1" sqref="Q2:Q11">
      <formula1>"Low,Low,Medium,Medium,High,Low,Low,Low,Medium,Medium"</formula1>
    </dataValidation>
    <dataValidation type="custom" allowBlank="1" showDropDown="1" sqref="E2:F11 W2:W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2.25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4.75"/>
  </cols>
  <sheetData>
    <row r="1" ht="22.5" customHeight="1">
      <c r="A1" s="43" t="s">
        <v>311</v>
      </c>
      <c r="B1" s="43" t="s">
        <v>312</v>
      </c>
      <c r="C1" s="43" t="s">
        <v>313</v>
      </c>
      <c r="D1" s="43" t="s">
        <v>314</v>
      </c>
      <c r="E1" s="43" t="s">
        <v>315</v>
      </c>
      <c r="F1" s="43" t="s">
        <v>316</v>
      </c>
      <c r="G1" s="43" t="s">
        <v>317</v>
      </c>
      <c r="H1" s="43" t="s">
        <v>318</v>
      </c>
      <c r="I1" s="43" t="s">
        <v>319</v>
      </c>
      <c r="J1" s="43" t="s">
        <v>320</v>
      </c>
      <c r="K1" s="43" t="s">
        <v>321</v>
      </c>
      <c r="L1" s="43" t="s">
        <v>322</v>
      </c>
      <c r="M1" s="43" t="s">
        <v>323</v>
      </c>
      <c r="N1" s="43" t="s">
        <v>324</v>
      </c>
      <c r="O1" s="43" t="s">
        <v>325</v>
      </c>
      <c r="P1" s="43" t="s">
        <v>326</v>
      </c>
      <c r="Q1" s="43" t="s">
        <v>327</v>
      </c>
      <c r="R1" s="43" t="s">
        <v>328</v>
      </c>
      <c r="S1" s="43" t="s">
        <v>329</v>
      </c>
      <c r="T1" s="43" t="s">
        <v>330</v>
      </c>
      <c r="U1" s="43" t="s">
        <v>331</v>
      </c>
      <c r="V1" s="43" t="s">
        <v>92</v>
      </c>
      <c r="W1" s="43" t="s">
        <v>332</v>
      </c>
    </row>
    <row r="2" ht="22.5" customHeight="1">
      <c r="A2" s="44" t="s">
        <v>333</v>
      </c>
      <c r="B2" s="44" t="s">
        <v>334</v>
      </c>
      <c r="C2" s="44">
        <v>4.001234567E9</v>
      </c>
      <c r="D2" s="44" t="s">
        <v>335</v>
      </c>
      <c r="E2" s="44" t="s">
        <v>336</v>
      </c>
      <c r="F2" s="44" t="s">
        <v>337</v>
      </c>
      <c r="G2" s="44" t="s">
        <v>338</v>
      </c>
      <c r="H2" s="44" t="s">
        <v>339</v>
      </c>
      <c r="I2" s="44" t="s">
        <v>221</v>
      </c>
      <c r="J2" s="44" t="s">
        <v>340</v>
      </c>
      <c r="K2" s="44" t="s">
        <v>341</v>
      </c>
      <c r="L2" s="44" t="s">
        <v>342</v>
      </c>
      <c r="M2" s="44" t="s">
        <v>343</v>
      </c>
      <c r="N2" s="48" t="b">
        <v>1</v>
      </c>
      <c r="O2" s="44" t="s">
        <v>344</v>
      </c>
      <c r="P2" s="44" t="s">
        <v>345</v>
      </c>
      <c r="Q2" s="45">
        <v>7.0</v>
      </c>
      <c r="R2" s="44" t="s">
        <v>111</v>
      </c>
      <c r="S2" s="44" t="s">
        <v>346</v>
      </c>
      <c r="T2" s="44" t="s">
        <v>347</v>
      </c>
      <c r="U2" s="44" t="s">
        <v>221</v>
      </c>
      <c r="V2" s="44" t="s">
        <v>348</v>
      </c>
      <c r="W2" s="45">
        <v>90.0</v>
      </c>
    </row>
    <row r="3" ht="22.5" customHeight="1">
      <c r="A3" s="44" t="s">
        <v>349</v>
      </c>
      <c r="B3" s="44" t="s">
        <v>334</v>
      </c>
      <c r="C3" s="44">
        <v>4.009876543E9</v>
      </c>
      <c r="D3" s="44" t="s">
        <v>350</v>
      </c>
      <c r="E3" s="44" t="s">
        <v>351</v>
      </c>
      <c r="F3" s="44" t="s">
        <v>352</v>
      </c>
      <c r="G3" s="44" t="s">
        <v>353</v>
      </c>
      <c r="H3" s="44" t="s">
        <v>354</v>
      </c>
      <c r="I3" s="44" t="s">
        <v>221</v>
      </c>
      <c r="J3" s="44" t="s">
        <v>355</v>
      </c>
      <c r="K3" s="44" t="s">
        <v>356</v>
      </c>
      <c r="L3" s="44" t="s">
        <v>357</v>
      </c>
      <c r="M3" s="44" t="s">
        <v>358</v>
      </c>
      <c r="N3" s="48" t="b">
        <v>1</v>
      </c>
      <c r="O3" s="44" t="s">
        <v>344</v>
      </c>
      <c r="P3" s="44" t="s">
        <v>359</v>
      </c>
      <c r="Q3" s="45">
        <v>10.0</v>
      </c>
      <c r="R3" s="44" t="s">
        <v>240</v>
      </c>
      <c r="S3" s="44" t="s">
        <v>360</v>
      </c>
      <c r="T3" s="44" t="s">
        <v>361</v>
      </c>
      <c r="U3" s="44" t="s">
        <v>221</v>
      </c>
      <c r="V3" s="44" t="s">
        <v>362</v>
      </c>
      <c r="W3" s="45">
        <v>80.0</v>
      </c>
    </row>
    <row r="4" ht="22.5" customHeight="1">
      <c r="A4" s="44" t="s">
        <v>363</v>
      </c>
      <c r="B4" s="44" t="s">
        <v>364</v>
      </c>
      <c r="C4" s="44">
        <v>4.005558888E9</v>
      </c>
      <c r="D4" s="44" t="s">
        <v>365</v>
      </c>
      <c r="E4" s="44" t="s">
        <v>366</v>
      </c>
      <c r="F4" s="44" t="s">
        <v>367</v>
      </c>
      <c r="G4" s="44" t="s">
        <v>368</v>
      </c>
      <c r="H4" s="44" t="s">
        <v>369</v>
      </c>
      <c r="I4" s="44" t="s">
        <v>221</v>
      </c>
      <c r="J4" s="44" t="s">
        <v>370</v>
      </c>
      <c r="K4" s="44" t="s">
        <v>371</v>
      </c>
      <c r="L4" s="44" t="s">
        <v>372</v>
      </c>
      <c r="M4" s="44" t="s">
        <v>373</v>
      </c>
      <c r="N4" s="48" t="b">
        <v>0</v>
      </c>
      <c r="O4" s="44" t="s">
        <v>374</v>
      </c>
      <c r="P4" s="44" t="s">
        <v>375</v>
      </c>
      <c r="Q4" s="45">
        <v>5.0</v>
      </c>
      <c r="R4" s="44" t="s">
        <v>111</v>
      </c>
      <c r="S4" s="44" t="s">
        <v>376</v>
      </c>
      <c r="T4" s="44" t="s">
        <v>377</v>
      </c>
      <c r="U4" s="44" t="s">
        <v>221</v>
      </c>
      <c r="V4" s="44" t="s">
        <v>378</v>
      </c>
      <c r="W4" s="45">
        <v>45.0</v>
      </c>
    </row>
    <row r="5" ht="22.5" customHeight="1">
      <c r="A5" s="44" t="s">
        <v>379</v>
      </c>
      <c r="B5" s="44" t="s">
        <v>334</v>
      </c>
      <c r="C5" s="44">
        <v>4.001112222E9</v>
      </c>
      <c r="D5" s="44" t="s">
        <v>380</v>
      </c>
      <c r="E5" s="44" t="s">
        <v>381</v>
      </c>
      <c r="F5" s="44" t="s">
        <v>382</v>
      </c>
      <c r="G5" s="44" t="s">
        <v>383</v>
      </c>
      <c r="H5" s="44" t="s">
        <v>384</v>
      </c>
      <c r="I5" s="44" t="s">
        <v>221</v>
      </c>
      <c r="J5" s="44" t="s">
        <v>385</v>
      </c>
      <c r="K5" s="44" t="s">
        <v>386</v>
      </c>
      <c r="L5" s="44" t="s">
        <v>387</v>
      </c>
      <c r="M5" s="44" t="s">
        <v>343</v>
      </c>
      <c r="N5" s="48" t="b">
        <v>1</v>
      </c>
      <c r="O5" s="44" t="s">
        <v>344</v>
      </c>
      <c r="P5" s="44" t="s">
        <v>388</v>
      </c>
      <c r="Q5" s="45">
        <v>14.0</v>
      </c>
      <c r="R5" s="44" t="s">
        <v>240</v>
      </c>
      <c r="S5" s="44" t="s">
        <v>389</v>
      </c>
      <c r="T5" s="44" t="s">
        <v>390</v>
      </c>
      <c r="U5" s="44" t="s">
        <v>221</v>
      </c>
      <c r="V5" s="44" t="s">
        <v>391</v>
      </c>
      <c r="W5" s="45">
        <v>75.0</v>
      </c>
    </row>
    <row r="6" ht="22.5" customHeight="1">
      <c r="A6" s="44" t="s">
        <v>392</v>
      </c>
      <c r="B6" s="44" t="s">
        <v>334</v>
      </c>
      <c r="C6" s="44">
        <v>4.007771111E9</v>
      </c>
      <c r="D6" s="44" t="s">
        <v>393</v>
      </c>
      <c r="E6" s="44" t="s">
        <v>394</v>
      </c>
      <c r="F6" s="44" t="s">
        <v>395</v>
      </c>
      <c r="G6" s="44" t="s">
        <v>396</v>
      </c>
      <c r="H6" s="44" t="s">
        <v>397</v>
      </c>
      <c r="I6" s="44" t="s">
        <v>221</v>
      </c>
      <c r="J6" s="44" t="s">
        <v>398</v>
      </c>
      <c r="K6" s="44" t="s">
        <v>371</v>
      </c>
      <c r="L6" s="44" t="s">
        <v>399</v>
      </c>
      <c r="M6" s="44" t="s">
        <v>400</v>
      </c>
      <c r="N6" s="48" t="b">
        <v>1</v>
      </c>
      <c r="O6" s="44" t="s">
        <v>344</v>
      </c>
      <c r="P6" s="44" t="s">
        <v>401</v>
      </c>
      <c r="Q6" s="45">
        <v>20.0</v>
      </c>
      <c r="R6" s="44" t="s">
        <v>264</v>
      </c>
      <c r="S6" s="44" t="s">
        <v>402</v>
      </c>
      <c r="T6" s="44" t="s">
        <v>403</v>
      </c>
      <c r="U6" s="44" t="s">
        <v>221</v>
      </c>
      <c r="V6" s="44" t="s">
        <v>404</v>
      </c>
      <c r="W6" s="45">
        <v>65.0</v>
      </c>
    </row>
    <row r="7" ht="22.5" customHeight="1">
      <c r="A7" s="44" t="s">
        <v>405</v>
      </c>
      <c r="B7" s="44" t="s">
        <v>334</v>
      </c>
      <c r="C7" s="44">
        <v>4.002223333E9</v>
      </c>
      <c r="D7" s="44" t="s">
        <v>406</v>
      </c>
      <c r="E7" s="44" t="s">
        <v>109</v>
      </c>
      <c r="F7" s="44" t="s">
        <v>407</v>
      </c>
      <c r="G7" s="44" t="s">
        <v>408</v>
      </c>
      <c r="H7" s="44" t="s">
        <v>409</v>
      </c>
      <c r="I7" s="44" t="s">
        <v>221</v>
      </c>
      <c r="J7" s="44" t="s">
        <v>410</v>
      </c>
      <c r="K7" s="44" t="s">
        <v>356</v>
      </c>
      <c r="L7" s="44" t="s">
        <v>411</v>
      </c>
      <c r="M7" s="44" t="s">
        <v>373</v>
      </c>
      <c r="N7" s="48" t="b">
        <v>0</v>
      </c>
      <c r="O7" s="44" t="s">
        <v>344</v>
      </c>
      <c r="P7" s="44" t="s">
        <v>412</v>
      </c>
      <c r="Q7" s="45">
        <v>3.0</v>
      </c>
      <c r="R7" s="44" t="s">
        <v>111</v>
      </c>
      <c r="S7" s="44" t="s">
        <v>413</v>
      </c>
      <c r="T7" s="44" t="s">
        <v>109</v>
      </c>
      <c r="U7" s="44" t="s">
        <v>221</v>
      </c>
      <c r="V7" s="44" t="s">
        <v>414</v>
      </c>
      <c r="W7" s="45">
        <v>30.0</v>
      </c>
    </row>
    <row r="8" ht="22.5" customHeight="1">
      <c r="A8" s="44" t="s">
        <v>415</v>
      </c>
      <c r="B8" s="44" t="s">
        <v>416</v>
      </c>
      <c r="C8" s="44" t="s">
        <v>109</v>
      </c>
      <c r="D8" s="44" t="s">
        <v>417</v>
      </c>
      <c r="E8" s="44" t="s">
        <v>109</v>
      </c>
      <c r="F8" s="44" t="s">
        <v>418</v>
      </c>
      <c r="G8" s="44" t="s">
        <v>419</v>
      </c>
      <c r="H8" s="44" t="s">
        <v>420</v>
      </c>
      <c r="I8" s="44" t="s">
        <v>221</v>
      </c>
      <c r="J8" s="44" t="s">
        <v>421</v>
      </c>
      <c r="K8" s="44" t="s">
        <v>371</v>
      </c>
      <c r="L8" s="44" t="s">
        <v>422</v>
      </c>
      <c r="M8" s="44" t="s">
        <v>358</v>
      </c>
      <c r="N8" s="48" t="b">
        <v>0</v>
      </c>
      <c r="O8" s="44" t="s">
        <v>344</v>
      </c>
      <c r="P8" s="44" t="s">
        <v>423</v>
      </c>
      <c r="Q8" s="45">
        <v>10.0</v>
      </c>
      <c r="R8" s="44" t="s">
        <v>111</v>
      </c>
      <c r="S8" s="44" t="s">
        <v>109</v>
      </c>
      <c r="T8" s="44" t="s">
        <v>424</v>
      </c>
      <c r="U8" s="44" t="s">
        <v>221</v>
      </c>
      <c r="V8" s="44" t="s">
        <v>425</v>
      </c>
      <c r="W8" s="45">
        <v>65.0</v>
      </c>
    </row>
    <row r="9" ht="22.5" customHeight="1">
      <c r="A9" s="44" t="s">
        <v>426</v>
      </c>
      <c r="B9" s="44" t="s">
        <v>334</v>
      </c>
      <c r="C9" s="44">
        <v>4.003334444E9</v>
      </c>
      <c r="D9" s="44" t="s">
        <v>335</v>
      </c>
      <c r="E9" s="44" t="s">
        <v>427</v>
      </c>
      <c r="F9" s="44" t="s">
        <v>428</v>
      </c>
      <c r="G9" s="44" t="s">
        <v>429</v>
      </c>
      <c r="H9" s="44" t="s">
        <v>430</v>
      </c>
      <c r="I9" s="44" t="s">
        <v>221</v>
      </c>
      <c r="J9" s="44" t="s">
        <v>431</v>
      </c>
      <c r="K9" s="44" t="s">
        <v>432</v>
      </c>
      <c r="L9" s="44" t="s">
        <v>433</v>
      </c>
      <c r="M9" s="44" t="s">
        <v>343</v>
      </c>
      <c r="N9" s="48" t="b">
        <v>1</v>
      </c>
      <c r="O9" s="44" t="s">
        <v>344</v>
      </c>
      <c r="P9" s="44" t="s">
        <v>434</v>
      </c>
      <c r="Q9" s="45">
        <v>12.0</v>
      </c>
      <c r="R9" s="44" t="s">
        <v>240</v>
      </c>
      <c r="S9" s="44" t="s">
        <v>435</v>
      </c>
      <c r="T9" s="44" t="s">
        <v>436</v>
      </c>
      <c r="U9" s="44" t="s">
        <v>221</v>
      </c>
      <c r="V9" s="44" t="s">
        <v>437</v>
      </c>
      <c r="W9" s="45">
        <v>75.0</v>
      </c>
    </row>
  </sheetData>
  <dataValidations>
    <dataValidation type="custom" allowBlank="1" showDropDown="1" sqref="G2:G9 Q2:Q9 W2:W9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5.5"/>
  </cols>
  <sheetData>
    <row r="1" ht="22.5" customHeight="1">
      <c r="A1" s="43" t="s">
        <v>438</v>
      </c>
      <c r="B1" s="43" t="s">
        <v>439</v>
      </c>
      <c r="C1" s="43" t="s">
        <v>312</v>
      </c>
      <c r="D1" s="43" t="s">
        <v>313</v>
      </c>
      <c r="E1" s="43" t="s">
        <v>440</v>
      </c>
      <c r="F1" s="43" t="s">
        <v>316</v>
      </c>
      <c r="G1" s="43" t="s">
        <v>317</v>
      </c>
      <c r="H1" s="43" t="s">
        <v>318</v>
      </c>
      <c r="I1" s="43" t="s">
        <v>319</v>
      </c>
      <c r="J1" s="43" t="s">
        <v>320</v>
      </c>
      <c r="K1" s="43" t="s">
        <v>441</v>
      </c>
      <c r="L1" s="43" t="s">
        <v>442</v>
      </c>
      <c r="M1" s="43" t="s">
        <v>443</v>
      </c>
      <c r="N1" s="43" t="s">
        <v>444</v>
      </c>
      <c r="O1" s="43" t="s">
        <v>445</v>
      </c>
      <c r="P1" s="43" t="s">
        <v>446</v>
      </c>
      <c r="Q1" s="43" t="s">
        <v>323</v>
      </c>
      <c r="R1" s="43" t="s">
        <v>447</v>
      </c>
      <c r="S1" s="43" t="s">
        <v>448</v>
      </c>
      <c r="T1" s="43" t="s">
        <v>449</v>
      </c>
      <c r="U1" s="43" t="s">
        <v>92</v>
      </c>
      <c r="V1" s="43" t="s">
        <v>332</v>
      </c>
    </row>
    <row r="2" ht="22.5" customHeight="1">
      <c r="A2" s="44" t="s">
        <v>450</v>
      </c>
      <c r="B2" s="44" t="s">
        <v>451</v>
      </c>
      <c r="C2" s="44" t="s">
        <v>334</v>
      </c>
      <c r="D2" s="44">
        <v>4.001112222E9</v>
      </c>
      <c r="E2" s="47" t="s">
        <v>452</v>
      </c>
      <c r="F2" s="44" t="s">
        <v>453</v>
      </c>
      <c r="G2" s="44" t="s">
        <v>338</v>
      </c>
      <c r="H2" s="44" t="s">
        <v>454</v>
      </c>
      <c r="I2" s="44" t="s">
        <v>221</v>
      </c>
      <c r="J2" s="44" t="s">
        <v>455</v>
      </c>
      <c r="K2" s="47" t="s">
        <v>456</v>
      </c>
      <c r="L2" s="44" t="s">
        <v>100</v>
      </c>
      <c r="M2" s="44" t="s">
        <v>457</v>
      </c>
      <c r="N2" s="44" t="s">
        <v>458</v>
      </c>
      <c r="O2" s="45">
        <v>45.0</v>
      </c>
      <c r="P2" s="44" t="s">
        <v>459</v>
      </c>
      <c r="Q2" s="44" t="s">
        <v>343</v>
      </c>
      <c r="R2" s="47" t="s">
        <v>460</v>
      </c>
      <c r="S2" s="47" t="s">
        <v>344</v>
      </c>
      <c r="T2" s="44" t="s">
        <v>461</v>
      </c>
      <c r="U2" s="44" t="s">
        <v>462</v>
      </c>
      <c r="V2" s="45">
        <v>90.0</v>
      </c>
    </row>
    <row r="3" ht="22.5" customHeight="1">
      <c r="A3" s="44" t="s">
        <v>463</v>
      </c>
      <c r="B3" s="44" t="s">
        <v>464</v>
      </c>
      <c r="C3" s="44" t="s">
        <v>334</v>
      </c>
      <c r="D3" s="44">
        <v>4.003334444E9</v>
      </c>
      <c r="E3" s="47" t="s">
        <v>109</v>
      </c>
      <c r="F3" s="44" t="s">
        <v>465</v>
      </c>
      <c r="G3" s="44" t="s">
        <v>466</v>
      </c>
      <c r="H3" s="44" t="s">
        <v>467</v>
      </c>
      <c r="I3" s="44" t="s">
        <v>221</v>
      </c>
      <c r="J3" s="44" t="s">
        <v>468</v>
      </c>
      <c r="K3" s="47" t="s">
        <v>469</v>
      </c>
      <c r="L3" s="44" t="s">
        <v>470</v>
      </c>
      <c r="M3" s="44" t="s">
        <v>471</v>
      </c>
      <c r="N3" s="44" t="s">
        <v>472</v>
      </c>
      <c r="O3" s="45">
        <v>12.5</v>
      </c>
      <c r="P3" s="44" t="s">
        <v>473</v>
      </c>
      <c r="Q3" s="44" t="s">
        <v>474</v>
      </c>
      <c r="R3" s="47" t="s">
        <v>475</v>
      </c>
      <c r="S3" s="47" t="s">
        <v>476</v>
      </c>
      <c r="T3" s="44" t="s">
        <v>477</v>
      </c>
      <c r="U3" s="44" t="s">
        <v>478</v>
      </c>
      <c r="V3" s="45">
        <v>65.0</v>
      </c>
    </row>
    <row r="4" ht="22.5" customHeight="1">
      <c r="A4" s="44" t="s">
        <v>479</v>
      </c>
      <c r="B4" s="44" t="s">
        <v>464</v>
      </c>
      <c r="C4" s="44" t="s">
        <v>334</v>
      </c>
      <c r="D4" s="44">
        <v>4.005556666E9</v>
      </c>
      <c r="E4" s="47" t="s">
        <v>109</v>
      </c>
      <c r="F4" s="44" t="s">
        <v>480</v>
      </c>
      <c r="G4" s="44" t="s">
        <v>481</v>
      </c>
      <c r="H4" s="44" t="s">
        <v>482</v>
      </c>
      <c r="I4" s="44" t="s">
        <v>221</v>
      </c>
      <c r="J4" s="44" t="s">
        <v>483</v>
      </c>
      <c r="K4" s="47" t="s">
        <v>386</v>
      </c>
      <c r="L4" s="44" t="s">
        <v>484</v>
      </c>
      <c r="M4" s="44" t="s">
        <v>485</v>
      </c>
      <c r="N4" s="44" t="s">
        <v>486</v>
      </c>
      <c r="O4" s="45">
        <v>3500.0</v>
      </c>
      <c r="P4" s="44" t="s">
        <v>487</v>
      </c>
      <c r="Q4" s="44" t="s">
        <v>400</v>
      </c>
      <c r="R4" s="47" t="s">
        <v>460</v>
      </c>
      <c r="S4" s="47" t="s">
        <v>488</v>
      </c>
      <c r="T4" s="44" t="s">
        <v>164</v>
      </c>
      <c r="U4" s="44" t="s">
        <v>489</v>
      </c>
      <c r="V4" s="45">
        <v>80.0</v>
      </c>
    </row>
    <row r="5" ht="22.5" customHeight="1">
      <c r="A5" s="44" t="s">
        <v>490</v>
      </c>
      <c r="B5" s="44" t="s">
        <v>491</v>
      </c>
      <c r="C5" s="44" t="s">
        <v>416</v>
      </c>
      <c r="D5" s="44" t="s">
        <v>109</v>
      </c>
      <c r="E5" s="47" t="s">
        <v>109</v>
      </c>
      <c r="F5" s="44" t="s">
        <v>492</v>
      </c>
      <c r="G5" s="44" t="s">
        <v>493</v>
      </c>
      <c r="H5" s="44" t="s">
        <v>494</v>
      </c>
      <c r="I5" s="44" t="s">
        <v>221</v>
      </c>
      <c r="J5" s="44" t="s">
        <v>495</v>
      </c>
      <c r="K5" s="47" t="s">
        <v>469</v>
      </c>
      <c r="L5" s="44" t="s">
        <v>140</v>
      </c>
      <c r="M5" s="44" t="s">
        <v>496</v>
      </c>
      <c r="N5" s="44" t="s">
        <v>109</v>
      </c>
      <c r="O5" s="45">
        <v>2500.0</v>
      </c>
      <c r="P5" s="44" t="s">
        <v>497</v>
      </c>
      <c r="Q5" s="44" t="s">
        <v>373</v>
      </c>
      <c r="R5" s="47" t="s">
        <v>460</v>
      </c>
      <c r="S5" s="47" t="s">
        <v>344</v>
      </c>
      <c r="T5" s="44" t="s">
        <v>164</v>
      </c>
      <c r="U5" s="44" t="s">
        <v>498</v>
      </c>
      <c r="V5" s="45">
        <v>30.0</v>
      </c>
    </row>
    <row r="6" ht="22.5" customHeight="1">
      <c r="A6" s="44" t="s">
        <v>499</v>
      </c>
      <c r="B6" s="44" t="s">
        <v>464</v>
      </c>
      <c r="C6" s="44" t="s">
        <v>334</v>
      </c>
      <c r="D6" s="44">
        <v>4.007778888E9</v>
      </c>
      <c r="E6" s="47" t="s">
        <v>500</v>
      </c>
      <c r="F6" s="44" t="s">
        <v>501</v>
      </c>
      <c r="G6" s="44" t="s">
        <v>502</v>
      </c>
      <c r="H6" s="44" t="s">
        <v>503</v>
      </c>
      <c r="I6" s="44" t="s">
        <v>221</v>
      </c>
      <c r="J6" s="44" t="s">
        <v>504</v>
      </c>
      <c r="K6" s="47" t="s">
        <v>456</v>
      </c>
      <c r="L6" s="44" t="s">
        <v>505</v>
      </c>
      <c r="M6" s="44" t="s">
        <v>457</v>
      </c>
      <c r="N6" s="44" t="s">
        <v>506</v>
      </c>
      <c r="O6" s="45">
        <v>800.0</v>
      </c>
      <c r="P6" s="44" t="s">
        <v>507</v>
      </c>
      <c r="Q6" s="44" t="s">
        <v>508</v>
      </c>
      <c r="R6" s="47" t="s">
        <v>475</v>
      </c>
      <c r="S6" s="47" t="s">
        <v>344</v>
      </c>
      <c r="T6" s="44" t="s">
        <v>509</v>
      </c>
      <c r="U6" s="44" t="s">
        <v>510</v>
      </c>
      <c r="V6" s="45">
        <v>80.0</v>
      </c>
    </row>
    <row r="7" ht="22.5" customHeight="1">
      <c r="A7" s="44" t="s">
        <v>511</v>
      </c>
      <c r="B7" s="44" t="s">
        <v>491</v>
      </c>
      <c r="C7" s="44" t="s">
        <v>334</v>
      </c>
      <c r="D7" s="44">
        <v>4.00999E9</v>
      </c>
      <c r="E7" s="47" t="s">
        <v>109</v>
      </c>
      <c r="F7" s="44" t="s">
        <v>512</v>
      </c>
      <c r="G7" s="44" t="s">
        <v>513</v>
      </c>
      <c r="H7" s="44" t="s">
        <v>514</v>
      </c>
      <c r="I7" s="44" t="s">
        <v>221</v>
      </c>
      <c r="J7" s="44" t="s">
        <v>515</v>
      </c>
      <c r="K7" s="47" t="s">
        <v>386</v>
      </c>
      <c r="L7" s="44" t="s">
        <v>516</v>
      </c>
      <c r="M7" s="44" t="s">
        <v>471</v>
      </c>
      <c r="N7" s="44" t="s">
        <v>517</v>
      </c>
      <c r="O7" s="45">
        <v>18.0</v>
      </c>
      <c r="P7" s="44" t="s">
        <v>518</v>
      </c>
      <c r="Q7" s="44" t="s">
        <v>474</v>
      </c>
      <c r="R7" s="47" t="s">
        <v>460</v>
      </c>
      <c r="S7" s="47" t="s">
        <v>344</v>
      </c>
      <c r="T7" s="44" t="s">
        <v>519</v>
      </c>
      <c r="U7" s="44" t="s">
        <v>520</v>
      </c>
      <c r="V7" s="45">
        <v>70.0</v>
      </c>
    </row>
    <row r="8" ht="22.5" customHeight="1">
      <c r="A8" s="44" t="s">
        <v>521</v>
      </c>
      <c r="B8" s="44" t="s">
        <v>522</v>
      </c>
      <c r="C8" s="44" t="s">
        <v>334</v>
      </c>
      <c r="D8" s="44">
        <v>4.001213141E9</v>
      </c>
      <c r="E8" s="47" t="s">
        <v>109</v>
      </c>
      <c r="F8" s="44" t="s">
        <v>523</v>
      </c>
      <c r="G8" s="44" t="s">
        <v>524</v>
      </c>
      <c r="H8" s="44" t="s">
        <v>525</v>
      </c>
      <c r="I8" s="44" t="s">
        <v>221</v>
      </c>
      <c r="J8" s="44" t="s">
        <v>526</v>
      </c>
      <c r="K8" s="47" t="s">
        <v>469</v>
      </c>
      <c r="L8" s="44" t="s">
        <v>527</v>
      </c>
      <c r="M8" s="44" t="s">
        <v>496</v>
      </c>
      <c r="N8" s="44" t="s">
        <v>109</v>
      </c>
      <c r="O8" s="45">
        <v>15.0</v>
      </c>
      <c r="P8" s="44" t="s">
        <v>528</v>
      </c>
      <c r="Q8" s="44" t="s">
        <v>474</v>
      </c>
      <c r="R8" s="47" t="s">
        <v>529</v>
      </c>
      <c r="S8" s="47" t="s">
        <v>476</v>
      </c>
      <c r="T8" s="44" t="s">
        <v>477</v>
      </c>
      <c r="U8" s="44" t="s">
        <v>530</v>
      </c>
      <c r="V8" s="45">
        <v>45.0</v>
      </c>
    </row>
    <row r="9" ht="22.5" customHeight="1">
      <c r="A9" s="44" t="s">
        <v>531</v>
      </c>
      <c r="B9" s="44" t="s">
        <v>532</v>
      </c>
      <c r="C9" s="44" t="s">
        <v>334</v>
      </c>
      <c r="D9" s="44">
        <v>4.001516171E9</v>
      </c>
      <c r="E9" s="47" t="s">
        <v>109</v>
      </c>
      <c r="F9" s="44" t="s">
        <v>533</v>
      </c>
      <c r="G9" s="44" t="s">
        <v>534</v>
      </c>
      <c r="H9" s="44" t="s">
        <v>535</v>
      </c>
      <c r="I9" s="44" t="s">
        <v>221</v>
      </c>
      <c r="J9" s="44" t="s">
        <v>536</v>
      </c>
      <c r="K9" s="47" t="s">
        <v>469</v>
      </c>
      <c r="L9" s="44" t="s">
        <v>537</v>
      </c>
      <c r="M9" s="44" t="s">
        <v>471</v>
      </c>
      <c r="N9" s="44" t="s">
        <v>538</v>
      </c>
      <c r="O9" s="45">
        <v>2.5</v>
      </c>
      <c r="P9" s="44" t="s">
        <v>539</v>
      </c>
      <c r="Q9" s="44" t="s">
        <v>373</v>
      </c>
      <c r="R9" s="47" t="s">
        <v>460</v>
      </c>
      <c r="S9" s="47" t="s">
        <v>476</v>
      </c>
      <c r="T9" s="44" t="s">
        <v>164</v>
      </c>
      <c r="U9" s="44" t="s">
        <v>540</v>
      </c>
      <c r="V9" s="45">
        <v>40.0</v>
      </c>
    </row>
    <row r="10" ht="22.5" customHeight="1">
      <c r="A10" s="44" t="s">
        <v>541</v>
      </c>
      <c r="B10" s="44" t="s">
        <v>464</v>
      </c>
      <c r="C10" s="44" t="s">
        <v>334</v>
      </c>
      <c r="D10" s="44">
        <v>4.001819202E9</v>
      </c>
      <c r="E10" s="47" t="s">
        <v>109</v>
      </c>
      <c r="F10" s="44" t="s">
        <v>542</v>
      </c>
      <c r="G10" s="44" t="s">
        <v>543</v>
      </c>
      <c r="H10" s="44" t="s">
        <v>544</v>
      </c>
      <c r="I10" s="44" t="s">
        <v>221</v>
      </c>
      <c r="J10" s="44" t="s">
        <v>545</v>
      </c>
      <c r="K10" s="47" t="s">
        <v>386</v>
      </c>
      <c r="L10" s="44" t="s">
        <v>546</v>
      </c>
      <c r="M10" s="44" t="s">
        <v>457</v>
      </c>
      <c r="N10" s="44" t="s">
        <v>547</v>
      </c>
      <c r="O10" s="45">
        <v>4000.0</v>
      </c>
      <c r="P10" s="44" t="s">
        <v>548</v>
      </c>
      <c r="Q10" s="44" t="s">
        <v>549</v>
      </c>
      <c r="R10" s="47" t="s">
        <v>460</v>
      </c>
      <c r="S10" s="47" t="s">
        <v>344</v>
      </c>
      <c r="T10" s="44" t="s">
        <v>164</v>
      </c>
      <c r="U10" s="44" t="s">
        <v>550</v>
      </c>
      <c r="V10" s="45">
        <v>75.0</v>
      </c>
    </row>
    <row r="11" ht="22.5" customHeight="1">
      <c r="A11" s="44" t="s">
        <v>551</v>
      </c>
      <c r="B11" s="44" t="s">
        <v>552</v>
      </c>
      <c r="C11" s="44" t="s">
        <v>416</v>
      </c>
      <c r="D11" s="44" t="s">
        <v>109</v>
      </c>
      <c r="E11" s="47" t="s">
        <v>109</v>
      </c>
      <c r="F11" s="44" t="s">
        <v>553</v>
      </c>
      <c r="G11" s="44" t="s">
        <v>554</v>
      </c>
      <c r="H11" s="44" t="s">
        <v>555</v>
      </c>
      <c r="I11" s="44" t="s">
        <v>221</v>
      </c>
      <c r="J11" s="44" t="s">
        <v>556</v>
      </c>
      <c r="K11" s="47" t="s">
        <v>469</v>
      </c>
      <c r="L11" s="44" t="s">
        <v>557</v>
      </c>
      <c r="M11" s="44" t="s">
        <v>496</v>
      </c>
      <c r="N11" s="44" t="s">
        <v>109</v>
      </c>
      <c r="O11" s="45">
        <v>150.0</v>
      </c>
      <c r="P11" s="44" t="s">
        <v>558</v>
      </c>
      <c r="Q11" s="44" t="s">
        <v>373</v>
      </c>
      <c r="R11" s="47" t="s">
        <v>460</v>
      </c>
      <c r="S11" s="47" t="s">
        <v>476</v>
      </c>
      <c r="T11" s="44" t="s">
        <v>164</v>
      </c>
      <c r="U11" s="44" t="s">
        <v>559</v>
      </c>
      <c r="V11" s="45">
        <v>30.0</v>
      </c>
    </row>
  </sheetData>
  <dataValidations>
    <dataValidation type="custom" allowBlank="1" showDropDown="1" sqref="G2:G11 O2:O11 V2:V11">
      <formula1>AND(ISNUMBER(G2),(NOT(OR(NOT(ISERROR(DATEVALUE(G2))), AND(ISNUMBER(G2), LEFT(CELL("format", G2))="D")))))</formula1>
    </dataValidation>
    <dataValidation type="list" allowBlank="1" sqref="K2:K11">
      <formula1>"Export,Local,National,Local,Export,National,Local,Local,National,Local"</formula1>
    </dataValidation>
    <dataValidation type="list" allowBlank="1" sqref="E2:E11">
      <formula1>"EXP-2025-001,N/A,N/A,N/A,EXP-2025-002,N/A,N/A,N/A,N/A,N/A"</formula1>
    </dataValidation>
    <dataValidation type="list" allowBlank="1" sqref="R2:R11">
      <formula1>"Good,Pending,Good,Good,Pending,Good,Late,Good,Good,Good"</formula1>
    </dataValidation>
    <dataValidation type="list" allowBlank="1" sqref="S2:S11">
      <formula1>"Delivered,Ex-Farm,Shared Transport,Delivered,Delivered,Delivered,Ex-Farm,Ex-Farm,Delivered,Ex-Farm"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4" width="16.63"/>
  </cols>
  <sheetData>
    <row r="1" ht="22.5" customHeight="1">
      <c r="A1" s="43" t="s">
        <v>560</v>
      </c>
      <c r="B1" s="43" t="s">
        <v>561</v>
      </c>
      <c r="C1" s="43" t="s">
        <v>65</v>
      </c>
      <c r="D1" s="43" t="s">
        <v>562</v>
      </c>
      <c r="E1" s="43" t="s">
        <v>563</v>
      </c>
      <c r="F1" s="43" t="s">
        <v>564</v>
      </c>
      <c r="G1" s="43" t="s">
        <v>565</v>
      </c>
      <c r="H1" s="43" t="s">
        <v>566</v>
      </c>
      <c r="I1" s="43" t="s">
        <v>567</v>
      </c>
      <c r="J1" s="43" t="s">
        <v>568</v>
      </c>
      <c r="K1" s="43" t="s">
        <v>569</v>
      </c>
      <c r="L1" s="43" t="s">
        <v>570</v>
      </c>
      <c r="M1" s="43" t="s">
        <v>571</v>
      </c>
      <c r="N1" s="43" t="s">
        <v>572</v>
      </c>
      <c r="O1" s="43" t="s">
        <v>573</v>
      </c>
      <c r="P1" s="43" t="s">
        <v>574</v>
      </c>
      <c r="Q1" s="43" t="s">
        <v>575</v>
      </c>
      <c r="R1" s="43" t="s">
        <v>576</v>
      </c>
      <c r="S1" s="43" t="s">
        <v>577</v>
      </c>
      <c r="T1" s="43" t="s">
        <v>578</v>
      </c>
      <c r="U1" s="43" t="s">
        <v>323</v>
      </c>
      <c r="V1" s="43" t="s">
        <v>447</v>
      </c>
      <c r="W1" s="43" t="s">
        <v>208</v>
      </c>
      <c r="X1" s="43" t="s">
        <v>92</v>
      </c>
    </row>
    <row r="2" ht="22.5" customHeight="1">
      <c r="A2" s="44" t="s">
        <v>579</v>
      </c>
      <c r="B2" s="49">
        <v>45928.0</v>
      </c>
      <c r="C2" s="47" t="s">
        <v>580</v>
      </c>
      <c r="D2" s="44" t="s">
        <v>581</v>
      </c>
      <c r="E2" s="44" t="s">
        <v>100</v>
      </c>
      <c r="F2" s="44" t="s">
        <v>582</v>
      </c>
      <c r="G2" s="44" t="s">
        <v>583</v>
      </c>
      <c r="H2" s="45">
        <v>5000.0</v>
      </c>
      <c r="I2" s="44" t="s">
        <v>584</v>
      </c>
      <c r="J2" s="44" t="s">
        <v>456</v>
      </c>
      <c r="K2" s="44" t="s">
        <v>450</v>
      </c>
      <c r="L2" s="44" t="s">
        <v>456</v>
      </c>
      <c r="M2" s="45">
        <v>45.0</v>
      </c>
      <c r="N2" s="45">
        <v>225000.0</v>
      </c>
      <c r="O2" s="44" t="s">
        <v>585</v>
      </c>
      <c r="P2" s="44" t="s">
        <v>586</v>
      </c>
      <c r="Q2" s="44" t="s">
        <v>587</v>
      </c>
      <c r="R2" s="44" t="s">
        <v>588</v>
      </c>
      <c r="S2" s="45">
        <v>100000.0</v>
      </c>
      <c r="T2" s="45">
        <v>125000.0</v>
      </c>
      <c r="U2" s="47" t="s">
        <v>474</v>
      </c>
      <c r="V2" s="47" t="s">
        <v>589</v>
      </c>
      <c r="W2" s="44" t="s">
        <v>123</v>
      </c>
      <c r="X2" s="44" t="s">
        <v>590</v>
      </c>
    </row>
    <row r="3" ht="22.5" customHeight="1">
      <c r="A3" s="44" t="s">
        <v>591</v>
      </c>
      <c r="B3" s="49">
        <v>45925.0</v>
      </c>
      <c r="C3" s="47" t="s">
        <v>592</v>
      </c>
      <c r="D3" s="44" t="s">
        <v>593</v>
      </c>
      <c r="E3" s="44" t="s">
        <v>594</v>
      </c>
      <c r="F3" s="44" t="s">
        <v>595</v>
      </c>
      <c r="G3" s="44" t="s">
        <v>596</v>
      </c>
      <c r="H3" s="45">
        <v>8000.0</v>
      </c>
      <c r="I3" s="44" t="s">
        <v>584</v>
      </c>
      <c r="J3" s="44" t="s">
        <v>597</v>
      </c>
      <c r="K3" s="44" t="s">
        <v>463</v>
      </c>
      <c r="L3" s="44" t="s">
        <v>464</v>
      </c>
      <c r="M3" s="45">
        <v>12.5</v>
      </c>
      <c r="N3" s="45">
        <v>100000.0</v>
      </c>
      <c r="O3" s="44" t="s">
        <v>598</v>
      </c>
      <c r="P3" s="44" t="s">
        <v>599</v>
      </c>
      <c r="Q3" s="44" t="s">
        <v>600</v>
      </c>
      <c r="R3" s="44" t="s">
        <v>601</v>
      </c>
      <c r="S3" s="45">
        <v>40000.0</v>
      </c>
      <c r="T3" s="45">
        <v>60000.0</v>
      </c>
      <c r="U3" s="47" t="s">
        <v>474</v>
      </c>
      <c r="V3" s="47" t="s">
        <v>475</v>
      </c>
      <c r="W3" s="44" t="s">
        <v>108</v>
      </c>
      <c r="X3" s="44" t="s">
        <v>602</v>
      </c>
    </row>
    <row r="4" ht="22.5" customHeight="1">
      <c r="A4" s="44" t="s">
        <v>603</v>
      </c>
      <c r="B4" s="49">
        <v>45920.0</v>
      </c>
      <c r="C4" s="47" t="s">
        <v>604</v>
      </c>
      <c r="D4" s="44" t="s">
        <v>605</v>
      </c>
      <c r="E4" s="44" t="s">
        <v>606</v>
      </c>
      <c r="F4" s="44" t="s">
        <v>607</v>
      </c>
      <c r="G4" s="44" t="s">
        <v>608</v>
      </c>
      <c r="H4" s="45">
        <v>15000.0</v>
      </c>
      <c r="I4" s="44" t="s">
        <v>609</v>
      </c>
      <c r="J4" s="44" t="s">
        <v>610</v>
      </c>
      <c r="K4" s="44" t="s">
        <v>479</v>
      </c>
      <c r="L4" s="44" t="s">
        <v>611</v>
      </c>
      <c r="M4" s="45">
        <v>3500.0</v>
      </c>
      <c r="N4" s="45">
        <v>5.25E7</v>
      </c>
      <c r="O4" s="44" t="s">
        <v>612</v>
      </c>
      <c r="P4" s="44" t="s">
        <v>164</v>
      </c>
      <c r="Q4" s="44" t="s">
        <v>613</v>
      </c>
      <c r="R4" s="44" t="s">
        <v>145</v>
      </c>
      <c r="S4" s="45">
        <v>2.0E7</v>
      </c>
      <c r="T4" s="45">
        <v>3.25E7</v>
      </c>
      <c r="U4" s="47" t="s">
        <v>549</v>
      </c>
      <c r="V4" s="47" t="s">
        <v>589</v>
      </c>
      <c r="W4" s="44" t="s">
        <v>614</v>
      </c>
      <c r="X4" s="44" t="s">
        <v>615</v>
      </c>
    </row>
    <row r="5" ht="22.5" customHeight="1">
      <c r="A5" s="44" t="s">
        <v>616</v>
      </c>
      <c r="B5" s="49">
        <v>45918.0</v>
      </c>
      <c r="C5" s="47" t="s">
        <v>580</v>
      </c>
      <c r="D5" s="44" t="s">
        <v>617</v>
      </c>
      <c r="E5" s="44" t="s">
        <v>140</v>
      </c>
      <c r="F5" s="44" t="s">
        <v>618</v>
      </c>
      <c r="G5" s="44" t="s">
        <v>619</v>
      </c>
      <c r="H5" s="45">
        <v>50.0</v>
      </c>
      <c r="I5" s="44" t="s">
        <v>620</v>
      </c>
      <c r="J5" s="44" t="s">
        <v>597</v>
      </c>
      <c r="K5" s="44" t="s">
        <v>490</v>
      </c>
      <c r="L5" s="44" t="s">
        <v>469</v>
      </c>
      <c r="M5" s="45">
        <v>2500.0</v>
      </c>
      <c r="N5" s="45">
        <v>125000.0</v>
      </c>
      <c r="O5" s="44" t="s">
        <v>621</v>
      </c>
      <c r="P5" s="44" t="s">
        <v>164</v>
      </c>
      <c r="Q5" s="44" t="s">
        <v>622</v>
      </c>
      <c r="R5" s="44" t="s">
        <v>623</v>
      </c>
      <c r="S5" s="45">
        <v>50000.0</v>
      </c>
      <c r="T5" s="45">
        <v>75000.0</v>
      </c>
      <c r="U5" s="47" t="s">
        <v>373</v>
      </c>
      <c r="V5" s="47" t="s">
        <v>589</v>
      </c>
      <c r="W5" s="44" t="s">
        <v>624</v>
      </c>
      <c r="X5" s="44" t="s">
        <v>625</v>
      </c>
    </row>
    <row r="6" ht="22.5" customHeight="1">
      <c r="A6" s="44" t="s">
        <v>626</v>
      </c>
      <c r="B6" s="49">
        <v>45915.0</v>
      </c>
      <c r="C6" s="47" t="s">
        <v>592</v>
      </c>
      <c r="D6" s="44" t="s">
        <v>627</v>
      </c>
      <c r="E6" s="44" t="s">
        <v>505</v>
      </c>
      <c r="F6" s="44" t="s">
        <v>628</v>
      </c>
      <c r="G6" s="44" t="s">
        <v>629</v>
      </c>
      <c r="H6" s="45">
        <v>200.0</v>
      </c>
      <c r="I6" s="44" t="s">
        <v>630</v>
      </c>
      <c r="J6" s="44" t="s">
        <v>456</v>
      </c>
      <c r="K6" s="44" t="s">
        <v>499</v>
      </c>
      <c r="L6" s="44" t="s">
        <v>456</v>
      </c>
      <c r="M6" s="45">
        <v>800.0</v>
      </c>
      <c r="N6" s="45">
        <v>160000.0</v>
      </c>
      <c r="O6" s="44" t="s">
        <v>631</v>
      </c>
      <c r="P6" s="44" t="s">
        <v>632</v>
      </c>
      <c r="Q6" s="44" t="s">
        <v>633</v>
      </c>
      <c r="R6" s="44" t="s">
        <v>588</v>
      </c>
      <c r="S6" s="45">
        <v>70000.0</v>
      </c>
      <c r="T6" s="45">
        <v>90000.0</v>
      </c>
      <c r="U6" s="47" t="s">
        <v>549</v>
      </c>
      <c r="V6" s="47" t="s">
        <v>475</v>
      </c>
      <c r="W6" s="44" t="s">
        <v>634</v>
      </c>
      <c r="X6" s="44" t="s">
        <v>635</v>
      </c>
    </row>
    <row r="7" ht="22.5" customHeight="1">
      <c r="A7" s="44" t="s">
        <v>636</v>
      </c>
      <c r="B7" s="49">
        <v>45910.0</v>
      </c>
      <c r="C7" s="47" t="s">
        <v>604</v>
      </c>
      <c r="D7" s="44" t="s">
        <v>637</v>
      </c>
      <c r="E7" s="44" t="s">
        <v>638</v>
      </c>
      <c r="F7" s="44" t="s">
        <v>639</v>
      </c>
      <c r="G7" s="44" t="s">
        <v>640</v>
      </c>
      <c r="H7" s="45">
        <v>1000.0</v>
      </c>
      <c r="I7" s="44" t="s">
        <v>584</v>
      </c>
      <c r="J7" s="44" t="s">
        <v>597</v>
      </c>
      <c r="K7" s="44" t="s">
        <v>641</v>
      </c>
      <c r="L7" s="44" t="s">
        <v>642</v>
      </c>
      <c r="M7" s="45">
        <v>18.0</v>
      </c>
      <c r="N7" s="45">
        <v>18000.0</v>
      </c>
      <c r="O7" s="44" t="s">
        <v>643</v>
      </c>
      <c r="P7" s="44" t="s">
        <v>586</v>
      </c>
      <c r="Q7" s="44" t="s">
        <v>600</v>
      </c>
      <c r="R7" s="44" t="s">
        <v>109</v>
      </c>
      <c r="S7" s="45">
        <v>8000.0</v>
      </c>
      <c r="T7" s="45">
        <v>10000.0</v>
      </c>
      <c r="U7" s="47" t="s">
        <v>474</v>
      </c>
      <c r="V7" s="47" t="s">
        <v>589</v>
      </c>
      <c r="W7" s="44" t="s">
        <v>644</v>
      </c>
      <c r="X7" s="44" t="s">
        <v>645</v>
      </c>
    </row>
    <row r="8" ht="22.5" customHeight="1">
      <c r="A8" s="44" t="s">
        <v>646</v>
      </c>
      <c r="B8" s="49">
        <v>45905.0</v>
      </c>
      <c r="C8" s="47" t="s">
        <v>580</v>
      </c>
      <c r="D8" s="44" t="s">
        <v>581</v>
      </c>
      <c r="E8" s="44" t="s">
        <v>527</v>
      </c>
      <c r="F8" s="44" t="s">
        <v>647</v>
      </c>
      <c r="G8" s="44" t="s">
        <v>648</v>
      </c>
      <c r="H8" s="45">
        <v>3000.0</v>
      </c>
      <c r="I8" s="44" t="s">
        <v>584</v>
      </c>
      <c r="J8" s="44" t="s">
        <v>610</v>
      </c>
      <c r="K8" s="44" t="s">
        <v>521</v>
      </c>
      <c r="L8" s="44" t="s">
        <v>469</v>
      </c>
      <c r="M8" s="45">
        <v>15.0</v>
      </c>
      <c r="N8" s="45">
        <v>45000.0</v>
      </c>
      <c r="O8" s="44" t="s">
        <v>649</v>
      </c>
      <c r="P8" s="44" t="s">
        <v>477</v>
      </c>
      <c r="Q8" s="44" t="s">
        <v>650</v>
      </c>
      <c r="R8" s="44" t="s">
        <v>623</v>
      </c>
      <c r="S8" s="45">
        <v>15000.0</v>
      </c>
      <c r="T8" s="45">
        <v>30000.0</v>
      </c>
      <c r="U8" s="47" t="s">
        <v>474</v>
      </c>
      <c r="V8" s="47" t="s">
        <v>651</v>
      </c>
      <c r="W8" s="44" t="s">
        <v>123</v>
      </c>
      <c r="X8" s="44" t="s">
        <v>652</v>
      </c>
    </row>
    <row r="9" ht="22.5" customHeight="1">
      <c r="A9" s="44" t="s">
        <v>653</v>
      </c>
      <c r="B9" s="49">
        <v>45901.0</v>
      </c>
      <c r="C9" s="47" t="s">
        <v>592</v>
      </c>
      <c r="D9" s="44" t="s">
        <v>593</v>
      </c>
      <c r="E9" s="44" t="s">
        <v>537</v>
      </c>
      <c r="F9" s="44" t="s">
        <v>654</v>
      </c>
      <c r="G9" s="44" t="s">
        <v>596</v>
      </c>
      <c r="H9" s="45">
        <v>2000.0</v>
      </c>
      <c r="I9" s="44" t="s">
        <v>584</v>
      </c>
      <c r="J9" s="44" t="s">
        <v>655</v>
      </c>
      <c r="K9" s="44" t="s">
        <v>656</v>
      </c>
      <c r="L9" s="44" t="s">
        <v>464</v>
      </c>
      <c r="M9" s="45">
        <v>2.5</v>
      </c>
      <c r="N9" s="45">
        <v>5000.0</v>
      </c>
      <c r="O9" s="44" t="s">
        <v>657</v>
      </c>
      <c r="P9" s="44" t="s">
        <v>164</v>
      </c>
      <c r="Q9" s="44" t="s">
        <v>600</v>
      </c>
      <c r="R9" s="44" t="s">
        <v>658</v>
      </c>
      <c r="S9" s="45">
        <v>1000.0</v>
      </c>
      <c r="T9" s="45">
        <v>4000.0</v>
      </c>
      <c r="U9" s="47" t="s">
        <v>373</v>
      </c>
      <c r="V9" s="47" t="s">
        <v>589</v>
      </c>
      <c r="W9" s="44" t="s">
        <v>108</v>
      </c>
      <c r="X9" s="44" t="s">
        <v>659</v>
      </c>
    </row>
    <row r="10" ht="22.5" customHeight="1">
      <c r="A10" s="44" t="s">
        <v>660</v>
      </c>
      <c r="B10" s="49">
        <v>45897.0</v>
      </c>
      <c r="C10" s="47" t="s">
        <v>604</v>
      </c>
      <c r="D10" s="44" t="s">
        <v>605</v>
      </c>
      <c r="E10" s="44" t="s">
        <v>606</v>
      </c>
      <c r="F10" s="44" t="s">
        <v>661</v>
      </c>
      <c r="G10" s="44" t="s">
        <v>662</v>
      </c>
      <c r="H10" s="45">
        <v>7000.0</v>
      </c>
      <c r="I10" s="44" t="s">
        <v>609</v>
      </c>
      <c r="J10" s="44" t="s">
        <v>597</v>
      </c>
      <c r="K10" s="44" t="s">
        <v>663</v>
      </c>
      <c r="L10" s="44" t="s">
        <v>611</v>
      </c>
      <c r="M10" s="45">
        <v>4000.0</v>
      </c>
      <c r="N10" s="45">
        <v>2.8E7</v>
      </c>
      <c r="O10" s="44" t="s">
        <v>664</v>
      </c>
      <c r="P10" s="44" t="s">
        <v>599</v>
      </c>
      <c r="Q10" s="44" t="s">
        <v>665</v>
      </c>
      <c r="R10" s="44" t="s">
        <v>145</v>
      </c>
      <c r="S10" s="45">
        <v>1.2E7</v>
      </c>
      <c r="T10" s="45">
        <v>1.6E7</v>
      </c>
      <c r="U10" s="47" t="s">
        <v>549</v>
      </c>
      <c r="V10" s="47" t="s">
        <v>475</v>
      </c>
      <c r="W10" s="44" t="s">
        <v>614</v>
      </c>
      <c r="X10" s="44" t="s">
        <v>666</v>
      </c>
    </row>
    <row r="11" ht="22.5" customHeight="1">
      <c r="A11" s="44" t="s">
        <v>667</v>
      </c>
      <c r="B11" s="49">
        <v>45889.0</v>
      </c>
      <c r="C11" s="47" t="s">
        <v>580</v>
      </c>
      <c r="D11" s="44" t="s">
        <v>617</v>
      </c>
      <c r="E11" s="44" t="s">
        <v>305</v>
      </c>
      <c r="F11" s="44" t="s">
        <v>668</v>
      </c>
      <c r="G11" s="44" t="s">
        <v>669</v>
      </c>
      <c r="H11" s="45">
        <v>100.0</v>
      </c>
      <c r="I11" s="44" t="s">
        <v>670</v>
      </c>
      <c r="J11" s="44" t="s">
        <v>655</v>
      </c>
      <c r="K11" s="44" t="s">
        <v>671</v>
      </c>
      <c r="L11" s="44" t="s">
        <v>642</v>
      </c>
      <c r="M11" s="45">
        <v>150.0</v>
      </c>
      <c r="N11" s="45">
        <v>15000.0</v>
      </c>
      <c r="O11" s="44" t="s">
        <v>672</v>
      </c>
      <c r="P11" s="44" t="s">
        <v>164</v>
      </c>
      <c r="Q11" s="44" t="s">
        <v>600</v>
      </c>
      <c r="R11" s="44" t="s">
        <v>673</v>
      </c>
      <c r="S11" s="45">
        <v>5000.0</v>
      </c>
      <c r="T11" s="45">
        <v>10000.0</v>
      </c>
      <c r="U11" s="47" t="s">
        <v>373</v>
      </c>
      <c r="V11" s="47" t="s">
        <v>589</v>
      </c>
      <c r="W11" s="44" t="s">
        <v>624</v>
      </c>
      <c r="X11" s="44" t="s">
        <v>674</v>
      </c>
    </row>
  </sheetData>
  <dataValidations>
    <dataValidation type="custom" allowBlank="1" showDropDown="1" sqref="B2:B11">
      <formula1>OR(NOT(ISERROR(DATEVALUE(B2))), AND(ISNUMBER(B2), LEFT(CELL("format", B2))="D"))</formula1>
    </dataValidation>
    <dataValidation type="custom" allowBlank="1" showDropDown="1" sqref="H2:H11 M2:N11 S2:T11">
      <formula1>AND(ISNUMBER(H2),(NOT(OR(NOT(ISERROR(DATEVALUE(H2))), AND(ISNUMBER(H2), LEFT(CELL("format", H2))="D")))))</formula1>
    </dataValidation>
    <dataValidation type="list" allowBlank="1" sqref="U2:U11">
      <formula1>"30 days,30 days,60 days,COD,60 days,30 days,30 days,COD,60 days,COD"</formula1>
    </dataValidation>
    <dataValidation type="list" allowBlank="1" sqref="C2:C11">
      <formula1>"Green Acres,Sunny Fields,Harvest Valley,Green Acres,Sunny Fields,Harvest Valley,Green Acres,Sunny Fields,Harvest Valley,Green Acres"</formula1>
    </dataValidation>
    <dataValidation type="list" allowBlank="1" sqref="V2:V11">
      <formula1>"Paid,Pending,Paid,Paid,Pending,Paid,Overdue,Paid,Pending,Paid"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4.5"/>
  </cols>
  <sheetData>
    <row r="1" ht="22.5" customHeight="1">
      <c r="A1" s="43" t="s">
        <v>675</v>
      </c>
      <c r="B1" s="43" t="s">
        <v>676</v>
      </c>
      <c r="C1" s="43" t="s">
        <v>65</v>
      </c>
      <c r="D1" s="43" t="s">
        <v>562</v>
      </c>
      <c r="E1" s="43" t="s">
        <v>677</v>
      </c>
      <c r="F1" s="43" t="s">
        <v>678</v>
      </c>
      <c r="G1" s="43" t="s">
        <v>679</v>
      </c>
      <c r="H1" s="43" t="s">
        <v>680</v>
      </c>
      <c r="I1" s="43" t="s">
        <v>681</v>
      </c>
      <c r="J1" s="43" t="s">
        <v>682</v>
      </c>
      <c r="K1" s="43" t="s">
        <v>567</v>
      </c>
      <c r="L1" s="43" t="s">
        <v>683</v>
      </c>
      <c r="M1" s="43" t="s">
        <v>684</v>
      </c>
      <c r="N1" s="43" t="s">
        <v>685</v>
      </c>
      <c r="O1" s="43" t="s">
        <v>686</v>
      </c>
      <c r="P1" s="43" t="s">
        <v>687</v>
      </c>
      <c r="Q1" s="43" t="s">
        <v>208</v>
      </c>
      <c r="R1" s="43" t="s">
        <v>688</v>
      </c>
      <c r="S1" s="43" t="s">
        <v>92</v>
      </c>
    </row>
    <row r="2" ht="22.5" customHeight="1">
      <c r="A2" s="44" t="s">
        <v>689</v>
      </c>
      <c r="B2" s="49">
        <v>45915.0</v>
      </c>
      <c r="C2" s="47" t="s">
        <v>580</v>
      </c>
      <c r="D2" s="44" t="s">
        <v>581</v>
      </c>
      <c r="E2" s="44" t="s">
        <v>690</v>
      </c>
      <c r="F2" s="44" t="s">
        <v>691</v>
      </c>
      <c r="G2" s="44" t="s">
        <v>333</v>
      </c>
      <c r="H2" s="44" t="s">
        <v>692</v>
      </c>
      <c r="I2" s="44" t="s">
        <v>693</v>
      </c>
      <c r="J2" s="45">
        <v>1500.0</v>
      </c>
      <c r="K2" s="44" t="s">
        <v>584</v>
      </c>
      <c r="L2" s="44" t="s">
        <v>694</v>
      </c>
      <c r="M2" s="44" t="s">
        <v>695</v>
      </c>
      <c r="N2" s="44">
        <v>4.0</v>
      </c>
      <c r="O2" s="45">
        <v>8.5</v>
      </c>
      <c r="P2" s="45">
        <v>12750.0</v>
      </c>
      <c r="Q2" s="44" t="s">
        <v>123</v>
      </c>
      <c r="R2" s="44" t="s">
        <v>696</v>
      </c>
      <c r="S2" s="44" t="s">
        <v>697</v>
      </c>
    </row>
    <row r="3" ht="22.5" customHeight="1">
      <c r="A3" s="44" t="s">
        <v>698</v>
      </c>
      <c r="B3" s="49">
        <v>45910.0</v>
      </c>
      <c r="C3" s="47" t="s">
        <v>592</v>
      </c>
      <c r="D3" s="44" t="s">
        <v>593</v>
      </c>
      <c r="E3" s="44" t="s">
        <v>699</v>
      </c>
      <c r="F3" s="44" t="s">
        <v>700</v>
      </c>
      <c r="G3" s="44" t="s">
        <v>349</v>
      </c>
      <c r="H3" s="44" t="s">
        <v>701</v>
      </c>
      <c r="I3" s="44" t="s">
        <v>702</v>
      </c>
      <c r="J3" s="45">
        <v>30.0</v>
      </c>
      <c r="K3" s="44" t="s">
        <v>703</v>
      </c>
      <c r="L3" s="44" t="s">
        <v>704</v>
      </c>
      <c r="M3" s="44" t="s">
        <v>705</v>
      </c>
      <c r="N3" s="44">
        <v>6.0</v>
      </c>
      <c r="O3" s="45">
        <v>350.0</v>
      </c>
      <c r="P3" s="45">
        <v>10500.0</v>
      </c>
      <c r="Q3" s="44" t="s">
        <v>108</v>
      </c>
      <c r="R3" s="44" t="s">
        <v>706</v>
      </c>
      <c r="S3" s="44" t="s">
        <v>707</v>
      </c>
    </row>
    <row r="4" ht="22.5" customHeight="1">
      <c r="A4" s="44" t="s">
        <v>708</v>
      </c>
      <c r="B4" s="49">
        <v>45897.0</v>
      </c>
      <c r="C4" s="47" t="s">
        <v>604</v>
      </c>
      <c r="D4" s="44" t="s">
        <v>605</v>
      </c>
      <c r="E4" s="44" t="s">
        <v>709</v>
      </c>
      <c r="F4" s="44" t="s">
        <v>710</v>
      </c>
      <c r="G4" s="44" t="s">
        <v>363</v>
      </c>
      <c r="H4" s="44" t="s">
        <v>711</v>
      </c>
      <c r="I4" s="44" t="s">
        <v>712</v>
      </c>
      <c r="J4" s="45">
        <v>80.0</v>
      </c>
      <c r="K4" s="44" t="s">
        <v>703</v>
      </c>
      <c r="L4" s="44" t="s">
        <v>704</v>
      </c>
      <c r="M4" s="44" t="s">
        <v>713</v>
      </c>
      <c r="N4" s="44">
        <v>5.0</v>
      </c>
      <c r="O4" s="45">
        <v>220.0</v>
      </c>
      <c r="P4" s="45">
        <v>17600.0</v>
      </c>
      <c r="Q4" s="44" t="s">
        <v>614</v>
      </c>
      <c r="R4" s="44" t="s">
        <v>714</v>
      </c>
      <c r="S4" s="44" t="s">
        <v>715</v>
      </c>
    </row>
    <row r="5" ht="22.5" customHeight="1">
      <c r="A5" s="44" t="s">
        <v>716</v>
      </c>
      <c r="B5" s="49">
        <v>45920.0</v>
      </c>
      <c r="C5" s="47" t="s">
        <v>580</v>
      </c>
      <c r="D5" s="44" t="s">
        <v>617</v>
      </c>
      <c r="E5" s="44" t="s">
        <v>387</v>
      </c>
      <c r="F5" s="44" t="s">
        <v>717</v>
      </c>
      <c r="G5" s="44" t="s">
        <v>379</v>
      </c>
      <c r="H5" s="44" t="s">
        <v>718</v>
      </c>
      <c r="I5" s="44" t="s">
        <v>719</v>
      </c>
      <c r="J5" s="45">
        <v>80.0</v>
      </c>
      <c r="K5" s="44" t="s">
        <v>720</v>
      </c>
      <c r="L5" s="44" t="s">
        <v>721</v>
      </c>
      <c r="M5" s="44" t="s">
        <v>722</v>
      </c>
      <c r="N5" s="44">
        <v>10.0</v>
      </c>
      <c r="O5" s="45">
        <v>1200.0</v>
      </c>
      <c r="P5" s="45">
        <v>96000.0</v>
      </c>
      <c r="Q5" s="44" t="s">
        <v>624</v>
      </c>
      <c r="R5" s="44" t="s">
        <v>723</v>
      </c>
      <c r="S5" s="44" t="s">
        <v>724</v>
      </c>
    </row>
    <row r="6" ht="22.5" customHeight="1">
      <c r="A6" s="44" t="s">
        <v>725</v>
      </c>
      <c r="B6" s="49">
        <v>45901.0</v>
      </c>
      <c r="C6" s="47" t="s">
        <v>592</v>
      </c>
      <c r="D6" s="44" t="s">
        <v>627</v>
      </c>
      <c r="E6" s="44" t="s">
        <v>726</v>
      </c>
      <c r="F6" s="44" t="s">
        <v>727</v>
      </c>
      <c r="G6" s="44" t="s">
        <v>728</v>
      </c>
      <c r="H6" s="44" t="s">
        <v>729</v>
      </c>
      <c r="I6" s="44" t="s">
        <v>109</v>
      </c>
      <c r="J6" s="45">
        <v>20.0</v>
      </c>
      <c r="K6" s="44" t="s">
        <v>730</v>
      </c>
      <c r="L6" s="44" t="s">
        <v>731</v>
      </c>
      <c r="M6" s="44" t="s">
        <v>732</v>
      </c>
      <c r="N6" s="44">
        <v>20.0</v>
      </c>
      <c r="O6" s="45">
        <v>150.0</v>
      </c>
      <c r="P6" s="45">
        <v>3000.0</v>
      </c>
      <c r="Q6" s="44" t="s">
        <v>634</v>
      </c>
      <c r="R6" s="44" t="s">
        <v>109</v>
      </c>
      <c r="S6" s="44" t="s">
        <v>733</v>
      </c>
    </row>
    <row r="7" ht="22.5" customHeight="1">
      <c r="A7" s="44" t="s">
        <v>734</v>
      </c>
      <c r="B7" s="49">
        <v>45884.0</v>
      </c>
      <c r="C7" s="47" t="s">
        <v>604</v>
      </c>
      <c r="D7" s="44" t="s">
        <v>637</v>
      </c>
      <c r="E7" s="44" t="s">
        <v>399</v>
      </c>
      <c r="F7" s="44" t="s">
        <v>735</v>
      </c>
      <c r="G7" s="44" t="s">
        <v>392</v>
      </c>
      <c r="H7" s="44" t="s">
        <v>736</v>
      </c>
      <c r="I7" s="44" t="s">
        <v>109</v>
      </c>
      <c r="J7" s="45">
        <v>1.0</v>
      </c>
      <c r="K7" s="44" t="s">
        <v>730</v>
      </c>
      <c r="L7" s="44" t="s">
        <v>217</v>
      </c>
      <c r="M7" s="44" t="s">
        <v>737</v>
      </c>
      <c r="N7" s="44">
        <v>2.0</v>
      </c>
      <c r="O7" s="45">
        <v>500.0</v>
      </c>
      <c r="P7" s="45">
        <v>1000.0</v>
      </c>
      <c r="Q7" s="44" t="s">
        <v>644</v>
      </c>
      <c r="R7" s="44" t="s">
        <v>738</v>
      </c>
      <c r="S7" s="44" t="s">
        <v>739</v>
      </c>
    </row>
    <row r="8" ht="22.5" customHeight="1">
      <c r="A8" s="44" t="s">
        <v>740</v>
      </c>
      <c r="B8" s="49">
        <v>45925.0</v>
      </c>
      <c r="C8" s="47" t="s">
        <v>580</v>
      </c>
      <c r="D8" s="44" t="s">
        <v>581</v>
      </c>
      <c r="E8" s="44" t="s">
        <v>741</v>
      </c>
      <c r="F8" s="44" t="s">
        <v>742</v>
      </c>
      <c r="G8" s="44" t="s">
        <v>743</v>
      </c>
      <c r="H8" s="44" t="s">
        <v>744</v>
      </c>
      <c r="I8" s="44" t="s">
        <v>745</v>
      </c>
      <c r="J8" s="45">
        <v>8.0</v>
      </c>
      <c r="K8" s="44" t="s">
        <v>703</v>
      </c>
      <c r="L8" s="44" t="s">
        <v>704</v>
      </c>
      <c r="M8" s="44" t="s">
        <v>746</v>
      </c>
      <c r="N8" s="44">
        <v>3.0</v>
      </c>
      <c r="O8" s="45">
        <v>450.0</v>
      </c>
      <c r="P8" s="45">
        <v>3600.0</v>
      </c>
      <c r="Q8" s="44" t="s">
        <v>123</v>
      </c>
      <c r="R8" s="44" t="s">
        <v>747</v>
      </c>
      <c r="S8" s="44" t="s">
        <v>748</v>
      </c>
    </row>
    <row r="9" ht="22.5" customHeight="1">
      <c r="A9" s="44" t="s">
        <v>749</v>
      </c>
      <c r="B9" s="49">
        <v>45918.0</v>
      </c>
      <c r="C9" s="47" t="s">
        <v>592</v>
      </c>
      <c r="D9" s="44" t="s">
        <v>593</v>
      </c>
      <c r="E9" s="44" t="s">
        <v>411</v>
      </c>
      <c r="F9" s="44" t="s">
        <v>10</v>
      </c>
      <c r="G9" s="44" t="s">
        <v>405</v>
      </c>
      <c r="H9" s="44" t="s">
        <v>750</v>
      </c>
      <c r="I9" s="44" t="s">
        <v>109</v>
      </c>
      <c r="J9" s="45">
        <v>100.0</v>
      </c>
      <c r="K9" s="44" t="s">
        <v>703</v>
      </c>
      <c r="L9" s="44" t="s">
        <v>731</v>
      </c>
      <c r="M9" s="44" t="s">
        <v>751</v>
      </c>
      <c r="N9" s="44" t="s">
        <v>109</v>
      </c>
      <c r="O9" s="45">
        <v>18.5</v>
      </c>
      <c r="P9" s="45">
        <v>1850.0</v>
      </c>
      <c r="Q9" s="44" t="s">
        <v>108</v>
      </c>
      <c r="R9" s="44" t="s">
        <v>752</v>
      </c>
      <c r="S9" s="44" t="s">
        <v>753</v>
      </c>
    </row>
    <row r="10" ht="22.5" customHeight="1">
      <c r="A10" s="44" t="s">
        <v>754</v>
      </c>
      <c r="B10" s="49">
        <v>45899.0</v>
      </c>
      <c r="C10" s="47" t="s">
        <v>604</v>
      </c>
      <c r="D10" s="44" t="s">
        <v>605</v>
      </c>
      <c r="E10" s="44" t="s">
        <v>305</v>
      </c>
      <c r="F10" s="44" t="s">
        <v>755</v>
      </c>
      <c r="G10" s="44" t="s">
        <v>415</v>
      </c>
      <c r="H10" s="44" t="s">
        <v>756</v>
      </c>
      <c r="I10" s="44" t="s">
        <v>109</v>
      </c>
      <c r="J10" s="45">
        <v>1.0</v>
      </c>
      <c r="K10" s="44" t="s">
        <v>720</v>
      </c>
      <c r="L10" s="44" t="s">
        <v>721</v>
      </c>
      <c r="M10" s="44" t="s">
        <v>757</v>
      </c>
      <c r="N10" s="44">
        <v>8.0</v>
      </c>
      <c r="O10" s="45">
        <v>750.0</v>
      </c>
      <c r="P10" s="45">
        <v>750.0</v>
      </c>
      <c r="Q10" s="44" t="s">
        <v>614</v>
      </c>
      <c r="R10" s="44" t="s">
        <v>758</v>
      </c>
      <c r="S10" s="44" t="s">
        <v>759</v>
      </c>
    </row>
    <row r="11" ht="22.5" customHeight="1">
      <c r="A11" s="44" t="s">
        <v>760</v>
      </c>
      <c r="B11" s="49">
        <v>45912.0</v>
      </c>
      <c r="C11" s="47" t="s">
        <v>580</v>
      </c>
      <c r="D11" s="44" t="s">
        <v>617</v>
      </c>
      <c r="E11" s="44" t="s">
        <v>690</v>
      </c>
      <c r="F11" s="44" t="s">
        <v>761</v>
      </c>
      <c r="G11" s="44" t="s">
        <v>333</v>
      </c>
      <c r="H11" s="44" t="s">
        <v>762</v>
      </c>
      <c r="I11" s="44" t="s">
        <v>763</v>
      </c>
      <c r="J11" s="45">
        <v>800.0</v>
      </c>
      <c r="K11" s="44" t="s">
        <v>584</v>
      </c>
      <c r="L11" s="44" t="s">
        <v>694</v>
      </c>
      <c r="M11" s="44" t="s">
        <v>764</v>
      </c>
      <c r="N11" s="44">
        <v>3.0</v>
      </c>
      <c r="O11" s="45">
        <v>12.0</v>
      </c>
      <c r="P11" s="45">
        <v>9600.0</v>
      </c>
      <c r="Q11" s="44" t="s">
        <v>624</v>
      </c>
      <c r="R11" s="44" t="s">
        <v>765</v>
      </c>
      <c r="S11" s="44" t="s">
        <v>766</v>
      </c>
    </row>
  </sheetData>
  <dataValidations>
    <dataValidation type="custom" allowBlank="1" showDropDown="1" sqref="B2:B11">
      <formula1>OR(NOT(ISERROR(DATEVALUE(B2))), AND(ISNUMBER(B2), LEFT(CELL("format", B2))="D"))</formula1>
    </dataValidation>
    <dataValidation type="custom" allowBlank="1" showDropDown="1" sqref="J2:J11 O2:P11">
      <formula1>AND(ISNUMBER(J2),(NOT(OR(NOT(ISERROR(DATEVALUE(J2))), AND(ISNUMBER(J2), LEFT(CELL("format", J2))="D")))))</formula1>
    </dataValidation>
    <dataValidation type="list" allowBlank="1" sqref="C2:C11">
      <formula1>"Green Acres,Sunny Fields,Harvest Valley,Green Acres,Sunny Fields,Harvest Valley,Green Acres,Sunny Fields,Harvest Valley,Green Acres"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3.63"/>
  </cols>
  <sheetData>
    <row r="1" ht="22.5" customHeight="1">
      <c r="A1" s="43" t="s">
        <v>767</v>
      </c>
      <c r="B1" s="43" t="s">
        <v>65</v>
      </c>
      <c r="C1" s="43" t="s">
        <v>768</v>
      </c>
      <c r="D1" s="43" t="s">
        <v>769</v>
      </c>
      <c r="E1" s="43" t="s">
        <v>770</v>
      </c>
      <c r="F1" s="43" t="s">
        <v>771</v>
      </c>
      <c r="G1" s="43" t="s">
        <v>772</v>
      </c>
      <c r="H1" s="43" t="s">
        <v>66</v>
      </c>
      <c r="I1" s="43" t="s">
        <v>773</v>
      </c>
      <c r="J1" s="43" t="s">
        <v>774</v>
      </c>
      <c r="K1" s="43" t="s">
        <v>775</v>
      </c>
      <c r="L1" s="43" t="s">
        <v>776</v>
      </c>
      <c r="M1" s="43" t="s">
        <v>777</v>
      </c>
      <c r="N1" s="43" t="s">
        <v>778</v>
      </c>
      <c r="O1" s="43" t="s">
        <v>779</v>
      </c>
      <c r="P1" s="43" t="s">
        <v>780</v>
      </c>
      <c r="Q1" s="43" t="s">
        <v>208</v>
      </c>
      <c r="R1" s="43" t="s">
        <v>92</v>
      </c>
    </row>
    <row r="2" ht="22.5" customHeight="1">
      <c r="A2" s="44" t="s">
        <v>781</v>
      </c>
      <c r="B2" s="47" t="s">
        <v>580</v>
      </c>
      <c r="C2" s="44" t="s">
        <v>782</v>
      </c>
      <c r="D2" s="44" t="s">
        <v>783</v>
      </c>
      <c r="E2" s="44" t="s">
        <v>784</v>
      </c>
      <c r="F2" s="45">
        <v>2022.0</v>
      </c>
      <c r="G2" s="44" t="s">
        <v>785</v>
      </c>
      <c r="H2" s="47" t="s">
        <v>786</v>
      </c>
      <c r="I2" s="46">
        <v>45809.0</v>
      </c>
      <c r="J2" s="46">
        <v>46174.0</v>
      </c>
      <c r="K2" s="47" t="s">
        <v>460</v>
      </c>
      <c r="L2" s="44" t="s">
        <v>97</v>
      </c>
      <c r="M2" s="49">
        <v>44671.0</v>
      </c>
      <c r="N2" s="45">
        <v>380000.0</v>
      </c>
      <c r="O2" s="44" t="s">
        <v>349</v>
      </c>
      <c r="P2" s="46">
        <v>46497.0</v>
      </c>
      <c r="Q2" s="44" t="s">
        <v>123</v>
      </c>
      <c r="R2" s="44" t="s">
        <v>787</v>
      </c>
    </row>
    <row r="3" ht="22.5" customHeight="1">
      <c r="A3" s="44" t="s">
        <v>788</v>
      </c>
      <c r="B3" s="47" t="s">
        <v>592</v>
      </c>
      <c r="C3" s="44" t="s">
        <v>789</v>
      </c>
      <c r="D3" s="44" t="s">
        <v>790</v>
      </c>
      <c r="E3" s="44" t="s">
        <v>791</v>
      </c>
      <c r="F3" s="45">
        <v>2023.0</v>
      </c>
      <c r="G3" s="44" t="s">
        <v>792</v>
      </c>
      <c r="H3" s="47" t="s">
        <v>786</v>
      </c>
      <c r="I3" s="44" t="s">
        <v>109</v>
      </c>
      <c r="J3" s="44" t="s">
        <v>109</v>
      </c>
      <c r="K3" s="47" t="s">
        <v>793</v>
      </c>
      <c r="L3" s="44" t="s">
        <v>97</v>
      </c>
      <c r="M3" s="49">
        <v>45179.0</v>
      </c>
      <c r="N3" s="45">
        <v>250000.0</v>
      </c>
      <c r="O3" s="44" t="s">
        <v>333</v>
      </c>
      <c r="P3" s="46">
        <v>47006.0</v>
      </c>
      <c r="Q3" s="44" t="s">
        <v>108</v>
      </c>
      <c r="R3" s="44" t="s">
        <v>794</v>
      </c>
    </row>
    <row r="4" ht="22.5" customHeight="1">
      <c r="A4" s="44" t="s">
        <v>795</v>
      </c>
      <c r="B4" s="47" t="s">
        <v>604</v>
      </c>
      <c r="C4" s="44" t="s">
        <v>796</v>
      </c>
      <c r="D4" s="44" t="s">
        <v>797</v>
      </c>
      <c r="E4" s="44" t="s">
        <v>798</v>
      </c>
      <c r="F4" s="45">
        <v>2021.0</v>
      </c>
      <c r="G4" s="44" t="s">
        <v>799</v>
      </c>
      <c r="H4" s="47" t="s">
        <v>800</v>
      </c>
      <c r="I4" s="46">
        <v>45853.0</v>
      </c>
      <c r="J4" s="46">
        <v>46218.0</v>
      </c>
      <c r="K4" s="47" t="s">
        <v>801</v>
      </c>
      <c r="L4" s="44" t="s">
        <v>97</v>
      </c>
      <c r="M4" s="49">
        <v>44260.0</v>
      </c>
      <c r="N4" s="45">
        <v>420000.0</v>
      </c>
      <c r="O4" s="44" t="s">
        <v>802</v>
      </c>
      <c r="P4" s="46">
        <v>46086.0</v>
      </c>
      <c r="Q4" s="44" t="s">
        <v>614</v>
      </c>
      <c r="R4" s="44" t="s">
        <v>803</v>
      </c>
    </row>
    <row r="5" ht="22.5" customHeight="1">
      <c r="A5" s="44" t="s">
        <v>804</v>
      </c>
      <c r="B5" s="47" t="s">
        <v>580</v>
      </c>
      <c r="C5" s="44" t="s">
        <v>805</v>
      </c>
      <c r="D5" s="44" t="s">
        <v>806</v>
      </c>
      <c r="E5" s="44" t="s">
        <v>807</v>
      </c>
      <c r="F5" s="45">
        <v>2019.0</v>
      </c>
      <c r="G5" s="44" t="s">
        <v>808</v>
      </c>
      <c r="H5" s="47" t="s">
        <v>809</v>
      </c>
      <c r="I5" s="46">
        <v>45672.0</v>
      </c>
      <c r="J5" s="46">
        <v>46037.0</v>
      </c>
      <c r="K5" s="47" t="s">
        <v>460</v>
      </c>
      <c r="L5" s="44" t="s">
        <v>97</v>
      </c>
      <c r="M5" s="49">
        <v>43748.0</v>
      </c>
      <c r="N5" s="45">
        <v>220000.0</v>
      </c>
      <c r="O5" s="44" t="s">
        <v>810</v>
      </c>
      <c r="P5" s="44" t="s">
        <v>109</v>
      </c>
      <c r="Q5" s="44" t="s">
        <v>624</v>
      </c>
      <c r="R5" s="44" t="s">
        <v>811</v>
      </c>
    </row>
    <row r="6" ht="22.5" customHeight="1">
      <c r="A6" s="44" t="s">
        <v>812</v>
      </c>
      <c r="B6" s="47" t="s">
        <v>592</v>
      </c>
      <c r="C6" s="44" t="s">
        <v>813</v>
      </c>
      <c r="D6" s="44" t="s">
        <v>814</v>
      </c>
      <c r="E6" s="44" t="s">
        <v>815</v>
      </c>
      <c r="F6" s="45">
        <v>2020.0</v>
      </c>
      <c r="G6" s="44" t="s">
        <v>816</v>
      </c>
      <c r="H6" s="47" t="s">
        <v>786</v>
      </c>
      <c r="I6" s="46">
        <v>45736.0</v>
      </c>
      <c r="J6" s="46">
        <v>46101.0</v>
      </c>
      <c r="K6" s="47" t="s">
        <v>460</v>
      </c>
      <c r="L6" s="44" t="s">
        <v>97</v>
      </c>
      <c r="M6" s="49">
        <v>44044.0</v>
      </c>
      <c r="N6" s="45">
        <v>60000.0</v>
      </c>
      <c r="O6" s="44" t="s">
        <v>392</v>
      </c>
      <c r="P6" s="46">
        <v>45870.0</v>
      </c>
      <c r="Q6" s="44" t="s">
        <v>634</v>
      </c>
      <c r="R6" s="44" t="s">
        <v>817</v>
      </c>
    </row>
    <row r="7" ht="22.5" customHeight="1">
      <c r="A7" s="44" t="s">
        <v>818</v>
      </c>
      <c r="B7" s="47" t="s">
        <v>604</v>
      </c>
      <c r="C7" s="44" t="s">
        <v>819</v>
      </c>
      <c r="D7" s="44" t="s">
        <v>820</v>
      </c>
      <c r="E7" s="44" t="s">
        <v>821</v>
      </c>
      <c r="F7" s="45">
        <v>2024.0</v>
      </c>
      <c r="G7" s="44" t="s">
        <v>822</v>
      </c>
      <c r="H7" s="47" t="s">
        <v>786</v>
      </c>
      <c r="I7" s="44" t="s">
        <v>109</v>
      </c>
      <c r="J7" s="46">
        <v>46113.0</v>
      </c>
      <c r="K7" s="47" t="s">
        <v>793</v>
      </c>
      <c r="L7" s="44" t="s">
        <v>823</v>
      </c>
      <c r="M7" s="49">
        <v>45383.0</v>
      </c>
      <c r="N7" s="45">
        <v>3500000.0</v>
      </c>
      <c r="O7" s="44" t="s">
        <v>824</v>
      </c>
      <c r="P7" s="46">
        <v>47209.0</v>
      </c>
      <c r="Q7" s="44" t="s">
        <v>644</v>
      </c>
      <c r="R7" s="44" t="s">
        <v>825</v>
      </c>
    </row>
    <row r="8" ht="22.5" customHeight="1">
      <c r="A8" s="44" t="s">
        <v>826</v>
      </c>
      <c r="B8" s="47" t="s">
        <v>580</v>
      </c>
      <c r="C8" s="44" t="s">
        <v>827</v>
      </c>
      <c r="D8" s="44" t="s">
        <v>828</v>
      </c>
      <c r="E8" s="44" t="s">
        <v>829</v>
      </c>
      <c r="F8" s="45">
        <v>2022.0</v>
      </c>
      <c r="G8" s="44" t="s">
        <v>830</v>
      </c>
      <c r="H8" s="47" t="s">
        <v>786</v>
      </c>
      <c r="I8" s="44" t="s">
        <v>109</v>
      </c>
      <c r="J8" s="44" t="s">
        <v>109</v>
      </c>
      <c r="K8" s="47" t="s">
        <v>793</v>
      </c>
      <c r="L8" s="44" t="s">
        <v>97</v>
      </c>
      <c r="M8" s="49">
        <v>44880.0</v>
      </c>
      <c r="N8" s="45">
        <v>180000.0</v>
      </c>
      <c r="O8" s="44" t="s">
        <v>333</v>
      </c>
      <c r="P8" s="46">
        <v>46706.0</v>
      </c>
      <c r="Q8" s="44" t="s">
        <v>123</v>
      </c>
      <c r="R8" s="44" t="s">
        <v>831</v>
      </c>
    </row>
    <row r="9" ht="22.5" customHeight="1">
      <c r="A9" s="44" t="s">
        <v>832</v>
      </c>
      <c r="B9" s="47" t="s">
        <v>592</v>
      </c>
      <c r="C9" s="44" t="s">
        <v>833</v>
      </c>
      <c r="D9" s="44" t="s">
        <v>834</v>
      </c>
      <c r="E9" s="44" t="s">
        <v>835</v>
      </c>
      <c r="F9" s="45">
        <v>2020.0</v>
      </c>
      <c r="G9" s="44" t="s">
        <v>836</v>
      </c>
      <c r="H9" s="47" t="s">
        <v>786</v>
      </c>
      <c r="I9" s="46">
        <v>45752.0</v>
      </c>
      <c r="J9" s="46">
        <v>46117.0</v>
      </c>
      <c r="K9" s="47" t="s">
        <v>460</v>
      </c>
      <c r="L9" s="44" t="s">
        <v>97</v>
      </c>
      <c r="M9" s="49">
        <v>44022.0</v>
      </c>
      <c r="N9" s="45">
        <v>700000.0</v>
      </c>
      <c r="O9" s="44" t="s">
        <v>837</v>
      </c>
      <c r="P9" s="44" t="s">
        <v>109</v>
      </c>
      <c r="Q9" s="44" t="s">
        <v>108</v>
      </c>
      <c r="R9" s="44" t="s">
        <v>838</v>
      </c>
    </row>
    <row r="10" ht="22.5" customHeight="1">
      <c r="A10" s="44" t="s">
        <v>839</v>
      </c>
      <c r="B10" s="47" t="s">
        <v>604</v>
      </c>
      <c r="C10" s="44" t="s">
        <v>840</v>
      </c>
      <c r="D10" s="44" t="s">
        <v>841</v>
      </c>
      <c r="E10" s="44" t="s">
        <v>842</v>
      </c>
      <c r="F10" s="45">
        <v>2023.0</v>
      </c>
      <c r="G10" s="44" t="s">
        <v>843</v>
      </c>
      <c r="H10" s="47" t="s">
        <v>786</v>
      </c>
      <c r="I10" s="46">
        <v>45901.0</v>
      </c>
      <c r="J10" s="46">
        <v>46266.0</v>
      </c>
      <c r="K10" s="47" t="s">
        <v>460</v>
      </c>
      <c r="L10" s="44" t="s">
        <v>97</v>
      </c>
      <c r="M10" s="49">
        <v>44946.0</v>
      </c>
      <c r="N10" s="45">
        <v>320000.0</v>
      </c>
      <c r="O10" s="44" t="s">
        <v>844</v>
      </c>
      <c r="P10" s="46">
        <v>46772.0</v>
      </c>
      <c r="Q10" s="44" t="s">
        <v>614</v>
      </c>
      <c r="R10" s="44" t="s">
        <v>845</v>
      </c>
    </row>
    <row r="11" ht="22.5" customHeight="1">
      <c r="A11" s="44" t="s">
        <v>846</v>
      </c>
      <c r="B11" s="47" t="s">
        <v>580</v>
      </c>
      <c r="C11" s="44" t="s">
        <v>847</v>
      </c>
      <c r="D11" s="44" t="s">
        <v>848</v>
      </c>
      <c r="E11" s="44" t="s">
        <v>849</v>
      </c>
      <c r="F11" s="45">
        <v>2024.0</v>
      </c>
      <c r="G11" s="44" t="s">
        <v>850</v>
      </c>
      <c r="H11" s="47" t="s">
        <v>786</v>
      </c>
      <c r="I11" s="44" t="s">
        <v>109</v>
      </c>
      <c r="J11" s="44" t="s">
        <v>109</v>
      </c>
      <c r="K11" s="47" t="s">
        <v>793</v>
      </c>
      <c r="L11" s="44" t="s">
        <v>97</v>
      </c>
      <c r="M11" s="49">
        <v>45332.0</v>
      </c>
      <c r="N11" s="45">
        <v>550000.0</v>
      </c>
      <c r="O11" s="44" t="s">
        <v>333</v>
      </c>
      <c r="P11" s="46">
        <v>47159.0</v>
      </c>
      <c r="Q11" s="44" t="s">
        <v>624</v>
      </c>
      <c r="R11" s="44" t="s">
        <v>851</v>
      </c>
    </row>
  </sheetData>
  <dataValidations>
    <dataValidation type="list" allowBlank="1" sqref="H2:H11">
      <formula1>"Active,Active,In Repair,Standby,Active,Active,Active,Active,Active,Active"</formula1>
    </dataValidation>
    <dataValidation type="custom" allowBlank="1" showDropDown="1" sqref="F2:F11 N2:N11">
      <formula1>AND(ISNUMBER(F2),(NOT(OR(NOT(ISERROR(DATEVALUE(F2))), AND(ISNUMBER(F2), LEFT(CELL("format", F2))="D")))))</formula1>
    </dataValidation>
    <dataValidation type="list" allowBlank="1" sqref="K2:K11">
      <formula1>"Good,Excellent,Needs Repair,Good,Good,Excellent,Excellent,Good,Good,Excellent"</formula1>
    </dataValidation>
    <dataValidation type="custom" allowBlank="1" showDropDown="1" sqref="M2:M11">
      <formula1>OR(NOT(ISERROR(DATEVALUE(M2))), AND(ISNUMBER(M2), LEFT(CELL("format", M2))="D"))</formula1>
    </dataValidation>
    <dataValidation type="list" allowBlank="1" sqref="B2:B11">
      <formula1>"Green Acres,Sunny Fields,Harvest Valley,Green Acres,Sunny Fields,Harvest Valley,Green Acres,Sunny Fields,Harvest Valley,Green Acres"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14.38"/>
    <col customWidth="1" min="6" max="6" width="17.88"/>
    <col customWidth="1" min="7" max="7" width="19.13"/>
    <col customWidth="1" min="8" max="8" width="14.13"/>
    <col customWidth="1" min="9" max="9" width="17.0"/>
    <col customWidth="1" min="11" max="11" width="15.38"/>
    <col customWidth="1" min="12" max="12" width="21.13"/>
    <col customWidth="1" min="13" max="13" width="18.0"/>
    <col customWidth="1" min="14" max="14" width="22.75"/>
    <col customWidth="1" min="15" max="15" width="24.88"/>
    <col customWidth="1" min="16" max="16" width="21.13"/>
    <col customWidth="1" min="17" max="17" width="19.25"/>
    <col customWidth="1" min="18" max="18" width="14.0"/>
    <col customWidth="1" min="19" max="19" width="22.5"/>
    <col customWidth="1" min="20" max="20" width="18.63"/>
    <col customWidth="1" min="21" max="21" width="19.63"/>
    <col customWidth="1" min="22" max="22" width="23.25"/>
    <col customWidth="1" min="23" max="23" width="24.38"/>
    <col customWidth="1" min="24" max="24" width="18.88"/>
    <col customWidth="1" min="25" max="25" width="12.75"/>
    <col customWidth="1" min="26" max="26" width="29.0"/>
    <col customWidth="1" min="27" max="27" width="18.38"/>
    <col customWidth="1" min="28" max="28" width="21.38"/>
    <col customWidth="1" min="29" max="29" width="20.88"/>
    <col customWidth="1" min="30" max="30" width="34.5"/>
    <col customWidth="1" min="31" max="31" width="17.88"/>
    <col customWidth="1" min="32" max="32" width="17.25"/>
    <col customWidth="1" min="33" max="33" width="19.25"/>
    <col customWidth="1" min="34" max="34" width="14.0"/>
    <col customWidth="1" min="35" max="36" width="12.75"/>
    <col customWidth="1" min="37" max="37" width="20.63"/>
    <col customWidth="1" min="38" max="38" width="15.5"/>
    <col customWidth="1" min="39" max="39" width="16.38"/>
    <col customWidth="1" min="40" max="40" width="36.25"/>
  </cols>
  <sheetData>
    <row r="1" ht="22.5" customHeight="1">
      <c r="A1" s="26" t="s">
        <v>852</v>
      </c>
      <c r="B1" s="26" t="s">
        <v>853</v>
      </c>
      <c r="C1" s="26" t="s">
        <v>769</v>
      </c>
      <c r="D1" s="26" t="s">
        <v>770</v>
      </c>
      <c r="E1" s="26" t="s">
        <v>771</v>
      </c>
      <c r="F1" s="26" t="s">
        <v>854</v>
      </c>
      <c r="G1" s="26" t="s">
        <v>855</v>
      </c>
      <c r="H1" s="26" t="s">
        <v>65</v>
      </c>
      <c r="I1" s="26" t="s">
        <v>856</v>
      </c>
      <c r="J1" s="26" t="s">
        <v>66</v>
      </c>
      <c r="K1" s="26" t="s">
        <v>857</v>
      </c>
      <c r="L1" s="26" t="s">
        <v>777</v>
      </c>
      <c r="M1" s="26" t="s">
        <v>779</v>
      </c>
      <c r="N1" s="26" t="s">
        <v>778</v>
      </c>
      <c r="O1" s="26" t="s">
        <v>858</v>
      </c>
      <c r="P1" s="26" t="s">
        <v>859</v>
      </c>
      <c r="Q1" s="26" t="s">
        <v>860</v>
      </c>
      <c r="R1" s="26" t="s">
        <v>861</v>
      </c>
      <c r="S1" s="26" t="s">
        <v>862</v>
      </c>
      <c r="T1" s="26" t="s">
        <v>773</v>
      </c>
      <c r="U1" s="26" t="s">
        <v>863</v>
      </c>
      <c r="V1" s="26" t="s">
        <v>864</v>
      </c>
      <c r="W1" s="26" t="s">
        <v>865</v>
      </c>
      <c r="X1" s="26" t="s">
        <v>866</v>
      </c>
      <c r="Y1" s="26" t="s">
        <v>867</v>
      </c>
      <c r="Z1" s="26" t="s">
        <v>868</v>
      </c>
      <c r="AA1" s="26" t="s">
        <v>869</v>
      </c>
      <c r="AB1" s="26" t="s">
        <v>870</v>
      </c>
      <c r="AC1" s="26" t="s">
        <v>871</v>
      </c>
      <c r="AD1" s="26" t="s">
        <v>872</v>
      </c>
      <c r="AE1" s="26" t="s">
        <v>873</v>
      </c>
      <c r="AF1" s="26" t="s">
        <v>780</v>
      </c>
      <c r="AG1" s="26" t="s">
        <v>874</v>
      </c>
      <c r="AH1" s="26" t="s">
        <v>875</v>
      </c>
      <c r="AI1" s="26" t="s">
        <v>775</v>
      </c>
      <c r="AJ1" s="26" t="s">
        <v>876</v>
      </c>
      <c r="AK1" s="26" t="s">
        <v>877</v>
      </c>
      <c r="AL1" s="26" t="s">
        <v>878</v>
      </c>
      <c r="AM1" s="26" t="s">
        <v>879</v>
      </c>
      <c r="AN1" s="26" t="s">
        <v>92</v>
      </c>
    </row>
    <row r="2" ht="22.5" customHeight="1">
      <c r="A2" s="31" t="s">
        <v>880</v>
      </c>
      <c r="B2" s="31" t="s">
        <v>731</v>
      </c>
      <c r="C2" s="31" t="s">
        <v>881</v>
      </c>
      <c r="D2" s="31" t="s">
        <v>882</v>
      </c>
      <c r="E2" s="31">
        <v>2023.0</v>
      </c>
      <c r="F2" s="31" t="s">
        <v>883</v>
      </c>
      <c r="G2" s="31" t="s">
        <v>884</v>
      </c>
      <c r="H2" s="31" t="s">
        <v>580</v>
      </c>
      <c r="I2" s="31" t="s">
        <v>581</v>
      </c>
      <c r="J2" s="31" t="s">
        <v>786</v>
      </c>
      <c r="K2" s="31" t="s">
        <v>97</v>
      </c>
      <c r="L2" s="34">
        <v>45000.0</v>
      </c>
      <c r="M2" s="31" t="s">
        <v>333</v>
      </c>
      <c r="N2" s="50">
        <v>1200000.0</v>
      </c>
      <c r="O2" s="50">
        <v>1080000.0</v>
      </c>
      <c r="P2" s="31" t="s">
        <v>885</v>
      </c>
      <c r="Q2" s="31">
        <v>10.0</v>
      </c>
      <c r="R2" s="31" t="s">
        <v>886</v>
      </c>
      <c r="S2" s="31">
        <v>1550.0</v>
      </c>
      <c r="T2" s="34">
        <v>45787.0</v>
      </c>
      <c r="U2" s="31">
        <v>1000.0</v>
      </c>
      <c r="V2" s="31">
        <v>500.0</v>
      </c>
      <c r="W2" s="31">
        <v>1500.0</v>
      </c>
      <c r="X2" s="34">
        <v>45971.0</v>
      </c>
      <c r="Y2" s="31" t="s">
        <v>10</v>
      </c>
      <c r="Z2" s="31" t="s">
        <v>887</v>
      </c>
      <c r="AA2" s="31" t="s">
        <v>888</v>
      </c>
      <c r="AB2" s="31" t="s">
        <v>109</v>
      </c>
      <c r="AC2" s="31" t="s">
        <v>889</v>
      </c>
      <c r="AD2" s="31" t="s">
        <v>890</v>
      </c>
      <c r="AE2" s="31" t="s">
        <v>891</v>
      </c>
      <c r="AF2" s="34">
        <v>46096.0</v>
      </c>
      <c r="AG2" s="31" t="s">
        <v>892</v>
      </c>
      <c r="AH2" s="31" t="s">
        <v>221</v>
      </c>
      <c r="AI2" s="31" t="s">
        <v>460</v>
      </c>
      <c r="AJ2" s="31" t="s">
        <v>264</v>
      </c>
      <c r="AK2" s="31">
        <v>20.0</v>
      </c>
      <c r="AL2" s="50">
        <v>25000.0</v>
      </c>
      <c r="AM2" s="31">
        <v>0.0</v>
      </c>
      <c r="AN2" s="31" t="s">
        <v>893</v>
      </c>
    </row>
    <row r="3" ht="22.5" customHeight="1">
      <c r="A3" s="31" t="s">
        <v>894</v>
      </c>
      <c r="B3" s="31" t="s">
        <v>895</v>
      </c>
      <c r="C3" s="31" t="s">
        <v>896</v>
      </c>
      <c r="D3" s="31" t="s">
        <v>897</v>
      </c>
      <c r="E3" s="31">
        <v>2022.0</v>
      </c>
      <c r="F3" s="31" t="s">
        <v>898</v>
      </c>
      <c r="G3" s="31" t="s">
        <v>109</v>
      </c>
      <c r="H3" s="31" t="s">
        <v>592</v>
      </c>
      <c r="I3" s="31" t="s">
        <v>593</v>
      </c>
      <c r="J3" s="31" t="s">
        <v>786</v>
      </c>
      <c r="K3" s="31" t="s">
        <v>97</v>
      </c>
      <c r="L3" s="34">
        <v>44774.0</v>
      </c>
      <c r="M3" s="31" t="s">
        <v>333</v>
      </c>
      <c r="N3" s="50">
        <v>150000.0</v>
      </c>
      <c r="O3" s="50">
        <v>120000.0</v>
      </c>
      <c r="P3" s="31" t="s">
        <v>885</v>
      </c>
      <c r="Q3" s="31">
        <v>15.0</v>
      </c>
      <c r="R3" s="31" t="s">
        <v>899</v>
      </c>
      <c r="S3" s="31" t="s">
        <v>109</v>
      </c>
      <c r="T3" s="31" t="s">
        <v>109</v>
      </c>
      <c r="U3" s="31" t="s">
        <v>109</v>
      </c>
      <c r="V3" s="31" t="s">
        <v>109</v>
      </c>
      <c r="W3" s="31" t="s">
        <v>109</v>
      </c>
      <c r="X3" s="31" t="s">
        <v>109</v>
      </c>
      <c r="Y3" s="31" t="s">
        <v>109</v>
      </c>
      <c r="Z3" s="31" t="s">
        <v>109</v>
      </c>
      <c r="AA3" s="31" t="s">
        <v>109</v>
      </c>
      <c r="AB3" s="31">
        <v>2.5</v>
      </c>
      <c r="AC3" s="31" t="s">
        <v>109</v>
      </c>
      <c r="AD3" s="31" t="s">
        <v>900</v>
      </c>
      <c r="AE3" s="31" t="s">
        <v>891</v>
      </c>
      <c r="AF3" s="34">
        <v>46600.0</v>
      </c>
      <c r="AG3" s="31" t="s">
        <v>901</v>
      </c>
      <c r="AH3" s="31" t="s">
        <v>221</v>
      </c>
      <c r="AI3" s="31" t="s">
        <v>793</v>
      </c>
      <c r="AJ3" s="31" t="s">
        <v>240</v>
      </c>
      <c r="AK3" s="31">
        <v>5.0</v>
      </c>
      <c r="AL3" s="50">
        <v>5000.0</v>
      </c>
      <c r="AM3" s="31">
        <v>0.0</v>
      </c>
      <c r="AN3" s="31" t="s">
        <v>902</v>
      </c>
    </row>
    <row r="4" ht="22.5" customHeight="1">
      <c r="A4" s="31" t="s">
        <v>903</v>
      </c>
      <c r="B4" s="31" t="s">
        <v>904</v>
      </c>
      <c r="C4" s="31" t="s">
        <v>905</v>
      </c>
      <c r="D4" s="31" t="s">
        <v>906</v>
      </c>
      <c r="E4" s="31">
        <v>2024.0</v>
      </c>
      <c r="F4" s="31" t="s">
        <v>907</v>
      </c>
      <c r="G4" s="31" t="s">
        <v>908</v>
      </c>
      <c r="H4" s="31" t="s">
        <v>604</v>
      </c>
      <c r="I4" s="31" t="s">
        <v>109</v>
      </c>
      <c r="J4" s="31" t="s">
        <v>786</v>
      </c>
      <c r="K4" s="31" t="s">
        <v>97</v>
      </c>
      <c r="L4" s="34">
        <v>45311.0</v>
      </c>
      <c r="M4" s="31" t="s">
        <v>909</v>
      </c>
      <c r="N4" s="50">
        <v>650000.0</v>
      </c>
      <c r="O4" s="50">
        <v>600000.0</v>
      </c>
      <c r="P4" s="31" t="s">
        <v>885</v>
      </c>
      <c r="Q4" s="31">
        <v>8.0</v>
      </c>
      <c r="R4" s="31" t="s">
        <v>910</v>
      </c>
      <c r="S4" s="31">
        <v>25000.0</v>
      </c>
      <c r="T4" s="34">
        <v>45839.0</v>
      </c>
      <c r="U4" s="31">
        <v>20000.0</v>
      </c>
      <c r="V4" s="31">
        <v>10000.0</v>
      </c>
      <c r="W4" s="31">
        <v>30000.0</v>
      </c>
      <c r="X4" s="34">
        <v>46023.0</v>
      </c>
      <c r="Y4" s="31" t="s">
        <v>10</v>
      </c>
      <c r="Z4" s="31" t="s">
        <v>911</v>
      </c>
      <c r="AA4" s="31" t="s">
        <v>912</v>
      </c>
      <c r="AB4" s="31" t="s">
        <v>109</v>
      </c>
      <c r="AC4" s="31" t="s">
        <v>109</v>
      </c>
      <c r="AD4" s="31" t="s">
        <v>913</v>
      </c>
      <c r="AE4" s="31" t="s">
        <v>914</v>
      </c>
      <c r="AF4" s="34">
        <v>46407.0</v>
      </c>
      <c r="AG4" s="31" t="s">
        <v>915</v>
      </c>
      <c r="AH4" s="31" t="s">
        <v>221</v>
      </c>
      <c r="AI4" s="31" t="s">
        <v>460</v>
      </c>
      <c r="AJ4" s="31" t="s">
        <v>264</v>
      </c>
      <c r="AK4" s="31">
        <v>10.0</v>
      </c>
      <c r="AL4" s="50">
        <v>12000.0</v>
      </c>
      <c r="AM4" s="31">
        <v>0.0</v>
      </c>
      <c r="AN4" s="31" t="s">
        <v>916</v>
      </c>
    </row>
    <row r="5" ht="22.5" customHeight="1">
      <c r="A5" s="31" t="s">
        <v>917</v>
      </c>
      <c r="B5" s="31" t="s">
        <v>813</v>
      </c>
      <c r="C5" s="31" t="s">
        <v>814</v>
      </c>
      <c r="D5" s="31" t="s">
        <v>918</v>
      </c>
      <c r="E5" s="31">
        <v>2021.0</v>
      </c>
      <c r="F5" s="31" t="s">
        <v>919</v>
      </c>
      <c r="G5" s="31" t="s">
        <v>109</v>
      </c>
      <c r="H5" s="31" t="s">
        <v>580</v>
      </c>
      <c r="I5" s="31" t="s">
        <v>920</v>
      </c>
      <c r="J5" s="31" t="s">
        <v>800</v>
      </c>
      <c r="K5" s="31" t="s">
        <v>97</v>
      </c>
      <c r="L5" s="34">
        <v>44505.0</v>
      </c>
      <c r="M5" s="31" t="s">
        <v>392</v>
      </c>
      <c r="N5" s="50">
        <v>45000.0</v>
      </c>
      <c r="O5" s="50">
        <v>20000.0</v>
      </c>
      <c r="P5" s="31" t="s">
        <v>885</v>
      </c>
      <c r="Q5" s="31">
        <v>12.0</v>
      </c>
      <c r="R5" s="31" t="s">
        <v>886</v>
      </c>
      <c r="S5" s="31">
        <v>8500.0</v>
      </c>
      <c r="T5" s="34">
        <v>45580.0</v>
      </c>
      <c r="U5" s="31">
        <v>8000.0</v>
      </c>
      <c r="V5" s="31">
        <v>1000.0</v>
      </c>
      <c r="W5" s="31">
        <v>9000.0</v>
      </c>
      <c r="X5" s="34">
        <v>45945.0</v>
      </c>
      <c r="Y5" s="31" t="s">
        <v>921</v>
      </c>
      <c r="Z5" s="31" t="s">
        <v>109</v>
      </c>
      <c r="AA5" s="31" t="s">
        <v>109</v>
      </c>
      <c r="AB5" s="31" t="s">
        <v>109</v>
      </c>
      <c r="AC5" s="31" t="s">
        <v>922</v>
      </c>
      <c r="AD5" s="31" t="s">
        <v>923</v>
      </c>
      <c r="AE5" s="31" t="s">
        <v>392</v>
      </c>
      <c r="AF5" s="34">
        <v>46331.0</v>
      </c>
      <c r="AG5" s="31" t="s">
        <v>924</v>
      </c>
      <c r="AH5" s="31" t="s">
        <v>221</v>
      </c>
      <c r="AI5" s="31" t="s">
        <v>801</v>
      </c>
      <c r="AJ5" s="31" t="s">
        <v>925</v>
      </c>
      <c r="AK5" s="31">
        <v>120.0</v>
      </c>
      <c r="AL5" s="50">
        <v>8000.0</v>
      </c>
      <c r="AM5" s="31">
        <v>0.0</v>
      </c>
      <c r="AN5" s="31" t="s">
        <v>926</v>
      </c>
    </row>
    <row r="6" ht="22.5" customHeight="1">
      <c r="A6" s="31" t="s">
        <v>927</v>
      </c>
      <c r="B6" s="31" t="s">
        <v>251</v>
      </c>
      <c r="C6" s="31" t="s">
        <v>928</v>
      </c>
      <c r="D6" s="31">
        <v>8120.0</v>
      </c>
      <c r="E6" s="31">
        <v>2020.0</v>
      </c>
      <c r="F6" s="31" t="s">
        <v>929</v>
      </c>
      <c r="G6" s="31" t="s">
        <v>109</v>
      </c>
      <c r="H6" s="31" t="s">
        <v>592</v>
      </c>
      <c r="I6" s="31" t="s">
        <v>930</v>
      </c>
      <c r="J6" s="31" t="s">
        <v>786</v>
      </c>
      <c r="K6" s="31" t="s">
        <v>823</v>
      </c>
      <c r="L6" s="34">
        <v>43983.0</v>
      </c>
      <c r="M6" s="31" t="s">
        <v>931</v>
      </c>
      <c r="N6" s="50">
        <v>750000.0</v>
      </c>
      <c r="O6" s="50">
        <v>500000.0</v>
      </c>
      <c r="P6" s="31" t="s">
        <v>885</v>
      </c>
      <c r="Q6" s="31">
        <v>20.0</v>
      </c>
      <c r="R6" s="31" t="s">
        <v>886</v>
      </c>
      <c r="S6" s="31">
        <v>12000.0</v>
      </c>
      <c r="T6" s="34">
        <v>45736.0</v>
      </c>
      <c r="U6" s="31">
        <v>11000.0</v>
      </c>
      <c r="V6" s="31">
        <v>2000.0</v>
      </c>
      <c r="W6" s="31">
        <v>13000.0</v>
      </c>
      <c r="X6" s="34">
        <v>46101.0</v>
      </c>
      <c r="Y6" s="31" t="s">
        <v>921</v>
      </c>
      <c r="Z6" s="31" t="s">
        <v>109</v>
      </c>
      <c r="AA6" s="31" t="s">
        <v>109</v>
      </c>
      <c r="AB6" s="31">
        <v>400.0</v>
      </c>
      <c r="AC6" s="31" t="s">
        <v>109</v>
      </c>
      <c r="AD6" s="31" t="s">
        <v>932</v>
      </c>
      <c r="AE6" s="31" t="s">
        <v>933</v>
      </c>
      <c r="AF6" s="34">
        <v>46022.0</v>
      </c>
      <c r="AG6" s="31" t="s">
        <v>934</v>
      </c>
      <c r="AH6" s="31" t="s">
        <v>221</v>
      </c>
      <c r="AI6" s="31" t="s">
        <v>460</v>
      </c>
      <c r="AJ6" s="31" t="s">
        <v>264</v>
      </c>
      <c r="AK6" s="31">
        <v>30.0</v>
      </c>
      <c r="AL6" s="50">
        <v>18000.0</v>
      </c>
      <c r="AM6" s="31">
        <v>0.0</v>
      </c>
      <c r="AN6" s="31" t="s">
        <v>935</v>
      </c>
    </row>
    <row r="7" ht="22.5" customHeight="1">
      <c r="A7" s="31" t="s">
        <v>936</v>
      </c>
      <c r="B7" s="31" t="s">
        <v>805</v>
      </c>
      <c r="C7" s="31" t="s">
        <v>806</v>
      </c>
      <c r="D7" s="31" t="s">
        <v>807</v>
      </c>
      <c r="E7" s="31">
        <v>2019.0</v>
      </c>
      <c r="F7" s="31" t="s">
        <v>937</v>
      </c>
      <c r="G7" s="31" t="s">
        <v>109</v>
      </c>
      <c r="H7" s="31" t="s">
        <v>604</v>
      </c>
      <c r="I7" s="31" t="s">
        <v>938</v>
      </c>
      <c r="J7" s="31" t="s">
        <v>809</v>
      </c>
      <c r="K7" s="31" t="s">
        <v>97</v>
      </c>
      <c r="L7" s="34">
        <v>43748.0</v>
      </c>
      <c r="M7" s="31" t="s">
        <v>810</v>
      </c>
      <c r="N7" s="50">
        <v>220000.0</v>
      </c>
      <c r="O7" s="50">
        <v>100000.0</v>
      </c>
      <c r="P7" s="31" t="s">
        <v>885</v>
      </c>
      <c r="Q7" s="31">
        <v>15.0</v>
      </c>
      <c r="R7" s="31" t="s">
        <v>886</v>
      </c>
      <c r="S7" s="31">
        <v>550.0</v>
      </c>
      <c r="T7" s="34">
        <v>45672.0</v>
      </c>
      <c r="U7" s="31">
        <v>500.0</v>
      </c>
      <c r="V7" s="31">
        <v>250.0</v>
      </c>
      <c r="W7" s="31">
        <v>750.0</v>
      </c>
      <c r="X7" s="34">
        <v>46037.0</v>
      </c>
      <c r="Y7" s="31" t="s">
        <v>10</v>
      </c>
      <c r="Z7" s="31" t="s">
        <v>939</v>
      </c>
      <c r="AA7" s="31" t="s">
        <v>109</v>
      </c>
      <c r="AB7" s="31" t="s">
        <v>109</v>
      </c>
      <c r="AC7" s="31" t="s">
        <v>940</v>
      </c>
      <c r="AD7" s="31" t="s">
        <v>941</v>
      </c>
      <c r="AE7" s="31" t="s">
        <v>942</v>
      </c>
      <c r="AF7" s="34">
        <v>45575.0</v>
      </c>
      <c r="AG7" s="31" t="s">
        <v>943</v>
      </c>
      <c r="AH7" s="31" t="s">
        <v>221</v>
      </c>
      <c r="AI7" s="31" t="s">
        <v>460</v>
      </c>
      <c r="AJ7" s="31" t="s">
        <v>240</v>
      </c>
      <c r="AK7" s="31">
        <v>5.0</v>
      </c>
      <c r="AL7" s="50">
        <v>3000.0</v>
      </c>
      <c r="AM7" s="31">
        <v>0.0</v>
      </c>
      <c r="AN7" s="31" t="s">
        <v>944</v>
      </c>
    </row>
    <row r="8" ht="22.5" customHeight="1">
      <c r="A8" s="31" t="s">
        <v>945</v>
      </c>
      <c r="B8" s="31" t="s">
        <v>782</v>
      </c>
      <c r="C8" s="31" t="s">
        <v>783</v>
      </c>
      <c r="D8" s="31" t="s">
        <v>784</v>
      </c>
      <c r="E8" s="31">
        <v>2022.0</v>
      </c>
      <c r="F8" s="31" t="s">
        <v>946</v>
      </c>
      <c r="G8" s="31" t="s">
        <v>109</v>
      </c>
      <c r="H8" s="31" t="s">
        <v>580</v>
      </c>
      <c r="I8" s="31" t="s">
        <v>581</v>
      </c>
      <c r="J8" s="31" t="s">
        <v>786</v>
      </c>
      <c r="K8" s="31" t="s">
        <v>97</v>
      </c>
      <c r="L8" s="34">
        <v>44671.0</v>
      </c>
      <c r="M8" s="31" t="s">
        <v>349</v>
      </c>
      <c r="N8" s="50">
        <v>380000.0</v>
      </c>
      <c r="O8" s="50">
        <v>320000.0</v>
      </c>
      <c r="P8" s="31" t="s">
        <v>947</v>
      </c>
      <c r="Q8" s="31">
        <v>10.0</v>
      </c>
      <c r="R8" s="31" t="s">
        <v>886</v>
      </c>
      <c r="S8" s="31">
        <v>800.0</v>
      </c>
      <c r="T8" s="34">
        <v>45809.0</v>
      </c>
      <c r="U8" s="31">
        <v>500.0</v>
      </c>
      <c r="V8" s="31">
        <v>300.0</v>
      </c>
      <c r="W8" s="31">
        <v>800.0</v>
      </c>
      <c r="X8" s="34">
        <v>45992.0</v>
      </c>
      <c r="Y8" s="31" t="s">
        <v>109</v>
      </c>
      <c r="Z8" s="31" t="s">
        <v>109</v>
      </c>
      <c r="AA8" s="31" t="s">
        <v>109</v>
      </c>
      <c r="AB8" s="31">
        <v>24.0</v>
      </c>
      <c r="AC8" s="31" t="s">
        <v>109</v>
      </c>
      <c r="AD8" s="31" t="s">
        <v>948</v>
      </c>
      <c r="AE8" s="31" t="s">
        <v>349</v>
      </c>
      <c r="AF8" s="34">
        <v>46497.0</v>
      </c>
      <c r="AG8" s="31" t="s">
        <v>949</v>
      </c>
      <c r="AH8" s="31" t="s">
        <v>221</v>
      </c>
      <c r="AI8" s="31" t="s">
        <v>793</v>
      </c>
      <c r="AJ8" s="31" t="s">
        <v>264</v>
      </c>
      <c r="AK8" s="31">
        <v>10.0</v>
      </c>
      <c r="AL8" s="50">
        <v>15000.0</v>
      </c>
      <c r="AM8" s="31">
        <v>0.0</v>
      </c>
      <c r="AN8" s="31" t="s">
        <v>950</v>
      </c>
    </row>
    <row r="9" ht="22.5" customHeight="1">
      <c r="A9" s="31" t="s">
        <v>951</v>
      </c>
      <c r="B9" s="31" t="s">
        <v>952</v>
      </c>
      <c r="C9" s="31" t="s">
        <v>953</v>
      </c>
      <c r="D9" s="31" t="s">
        <v>954</v>
      </c>
      <c r="E9" s="31">
        <v>2024.0</v>
      </c>
      <c r="F9" s="31" t="s">
        <v>955</v>
      </c>
      <c r="G9" s="31" t="s">
        <v>109</v>
      </c>
      <c r="H9" s="31" t="s">
        <v>592</v>
      </c>
      <c r="I9" s="31" t="s">
        <v>938</v>
      </c>
      <c r="J9" s="31" t="s">
        <v>786</v>
      </c>
      <c r="K9" s="31" t="s">
        <v>97</v>
      </c>
      <c r="L9" s="34">
        <v>45332.0</v>
      </c>
      <c r="M9" s="31" t="s">
        <v>426</v>
      </c>
      <c r="N9" s="50">
        <v>1500.0</v>
      </c>
      <c r="O9" s="50">
        <v>1400.0</v>
      </c>
      <c r="P9" s="31" t="s">
        <v>885</v>
      </c>
      <c r="Q9" s="31">
        <v>5.0</v>
      </c>
      <c r="R9" s="31" t="s">
        <v>899</v>
      </c>
      <c r="S9" s="31" t="s">
        <v>109</v>
      </c>
      <c r="T9" s="31" t="s">
        <v>109</v>
      </c>
      <c r="U9" s="31" t="s">
        <v>109</v>
      </c>
      <c r="V9" s="31" t="s">
        <v>109</v>
      </c>
      <c r="W9" s="31" t="s">
        <v>109</v>
      </c>
      <c r="X9" s="31" t="s">
        <v>109</v>
      </c>
      <c r="Y9" s="31" t="s">
        <v>921</v>
      </c>
      <c r="Z9" s="31" t="s">
        <v>109</v>
      </c>
      <c r="AA9" s="31" t="s">
        <v>109</v>
      </c>
      <c r="AB9" s="31" t="s">
        <v>109</v>
      </c>
      <c r="AC9" s="31" t="s">
        <v>109</v>
      </c>
      <c r="AD9" s="31" t="s">
        <v>956</v>
      </c>
      <c r="AE9" s="31" t="s">
        <v>426</v>
      </c>
      <c r="AF9" s="34">
        <v>46428.0</v>
      </c>
      <c r="AG9" s="31" t="s">
        <v>109</v>
      </c>
      <c r="AH9" s="31" t="s">
        <v>221</v>
      </c>
      <c r="AI9" s="31" t="s">
        <v>460</v>
      </c>
      <c r="AJ9" s="31" t="s">
        <v>111</v>
      </c>
      <c r="AK9" s="31">
        <v>0.0</v>
      </c>
      <c r="AL9" s="31">
        <v>100.0</v>
      </c>
      <c r="AM9" s="31">
        <v>0.0</v>
      </c>
      <c r="AN9" s="31" t="s">
        <v>957</v>
      </c>
    </row>
    <row r="10" ht="22.5" customHeight="1">
      <c r="A10" s="31" t="s">
        <v>958</v>
      </c>
      <c r="B10" s="31" t="s">
        <v>305</v>
      </c>
      <c r="C10" s="31" t="s">
        <v>959</v>
      </c>
      <c r="D10" s="31" t="s">
        <v>960</v>
      </c>
      <c r="E10" s="31">
        <v>2023.0</v>
      </c>
      <c r="F10" s="31" t="s">
        <v>961</v>
      </c>
      <c r="G10" s="31" t="s">
        <v>109</v>
      </c>
      <c r="H10" s="31" t="s">
        <v>604</v>
      </c>
      <c r="I10" s="31" t="s">
        <v>109</v>
      </c>
      <c r="J10" s="31" t="s">
        <v>786</v>
      </c>
      <c r="K10" s="31" t="s">
        <v>97</v>
      </c>
      <c r="L10" s="34">
        <v>45108.0</v>
      </c>
      <c r="M10" s="31" t="s">
        <v>962</v>
      </c>
      <c r="N10" s="50">
        <v>25000.0</v>
      </c>
      <c r="O10" s="50">
        <v>22000.0</v>
      </c>
      <c r="P10" s="31" t="s">
        <v>885</v>
      </c>
      <c r="Q10" s="31">
        <v>10.0</v>
      </c>
      <c r="R10" s="31" t="s">
        <v>899</v>
      </c>
      <c r="S10" s="31" t="s">
        <v>109</v>
      </c>
      <c r="T10" s="31" t="s">
        <v>109</v>
      </c>
      <c r="U10" s="31" t="s">
        <v>109</v>
      </c>
      <c r="V10" s="31" t="s">
        <v>109</v>
      </c>
      <c r="W10" s="31" t="s">
        <v>109</v>
      </c>
      <c r="X10" s="31" t="s">
        <v>109</v>
      </c>
      <c r="Y10" s="31" t="s">
        <v>109</v>
      </c>
      <c r="Z10" s="31" t="s">
        <v>109</v>
      </c>
      <c r="AA10" s="31" t="s">
        <v>109</v>
      </c>
      <c r="AB10" s="31" t="s">
        <v>109</v>
      </c>
      <c r="AC10" s="31" t="s">
        <v>109</v>
      </c>
      <c r="AD10" s="31" t="s">
        <v>963</v>
      </c>
      <c r="AE10" s="31" t="s">
        <v>109</v>
      </c>
      <c r="AF10" s="31" t="s">
        <v>109</v>
      </c>
      <c r="AG10" s="31" t="s">
        <v>964</v>
      </c>
      <c r="AH10" s="31" t="s">
        <v>221</v>
      </c>
      <c r="AI10" s="31" t="s">
        <v>460</v>
      </c>
      <c r="AJ10" s="31" t="s">
        <v>240</v>
      </c>
      <c r="AK10" s="31">
        <v>0.0</v>
      </c>
      <c r="AL10" s="31">
        <v>500.0</v>
      </c>
      <c r="AM10" s="31">
        <v>0.0</v>
      </c>
      <c r="AN10" s="31" t="s">
        <v>965</v>
      </c>
    </row>
    <row r="11" ht="22.5" customHeight="1">
      <c r="A11" s="31" t="s">
        <v>966</v>
      </c>
      <c r="B11" s="31" t="s">
        <v>731</v>
      </c>
      <c r="C11" s="31" t="s">
        <v>967</v>
      </c>
      <c r="D11" s="31" t="s">
        <v>968</v>
      </c>
      <c r="E11" s="31">
        <v>2020.0</v>
      </c>
      <c r="F11" s="31" t="s">
        <v>969</v>
      </c>
      <c r="G11" s="31" t="s">
        <v>970</v>
      </c>
      <c r="H11" s="31" t="s">
        <v>580</v>
      </c>
      <c r="I11" s="31" t="s">
        <v>617</v>
      </c>
      <c r="J11" s="31" t="s">
        <v>800</v>
      </c>
      <c r="K11" s="31" t="s">
        <v>97</v>
      </c>
      <c r="L11" s="34">
        <v>44075.0</v>
      </c>
      <c r="M11" s="31" t="s">
        <v>333</v>
      </c>
      <c r="N11" s="50">
        <v>850000.0</v>
      </c>
      <c r="O11" s="50">
        <v>600000.0</v>
      </c>
      <c r="P11" s="31" t="s">
        <v>885</v>
      </c>
      <c r="Q11" s="31">
        <v>12.0</v>
      </c>
      <c r="R11" s="31" t="s">
        <v>886</v>
      </c>
      <c r="S11" s="31">
        <v>4500.0</v>
      </c>
      <c r="T11" s="34">
        <v>45698.0</v>
      </c>
      <c r="U11" s="31">
        <v>4000.0</v>
      </c>
      <c r="V11" s="31">
        <v>500.0</v>
      </c>
      <c r="W11" s="31">
        <v>4500.0</v>
      </c>
      <c r="X11" s="34">
        <v>45879.0</v>
      </c>
      <c r="Y11" s="31" t="s">
        <v>10</v>
      </c>
      <c r="Z11" s="31" t="s">
        <v>971</v>
      </c>
      <c r="AA11" s="31" t="s">
        <v>972</v>
      </c>
      <c r="AB11" s="31" t="s">
        <v>109</v>
      </c>
      <c r="AC11" s="31" t="s">
        <v>973</v>
      </c>
      <c r="AD11" s="31" t="s">
        <v>974</v>
      </c>
      <c r="AE11" s="31" t="s">
        <v>891</v>
      </c>
      <c r="AF11" s="34">
        <v>45901.0</v>
      </c>
      <c r="AG11" s="31" t="s">
        <v>975</v>
      </c>
      <c r="AH11" s="31" t="s">
        <v>221</v>
      </c>
      <c r="AI11" s="31" t="s">
        <v>801</v>
      </c>
      <c r="AJ11" s="31" t="s">
        <v>264</v>
      </c>
      <c r="AK11" s="31">
        <v>80.0</v>
      </c>
      <c r="AL11" s="50">
        <v>18000.0</v>
      </c>
      <c r="AM11" s="31">
        <v>0.0</v>
      </c>
      <c r="AN11" s="31" t="s">
        <v>976</v>
      </c>
    </row>
  </sheetData>
  <dataValidations>
    <dataValidation type="custom" allowBlank="1" showDropDown="1" sqref="L2:L11">
      <formula1>OR(NOT(ISERROR(DATEVALUE(L2))), AND(ISNUMBER(L2), LEFT(CELL("format", L2))="D"))</formula1>
    </dataValidation>
    <dataValidation type="custom" allowBlank="1" showDropDown="1" sqref="N2:O11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6.88"/>
  </cols>
  <sheetData>
    <row r="1" ht="22.5" customHeight="1">
      <c r="A1" s="51" t="s">
        <v>977</v>
      </c>
      <c r="B1" s="51" t="s">
        <v>978</v>
      </c>
      <c r="C1" s="51" t="s">
        <v>979</v>
      </c>
      <c r="D1" s="51" t="s">
        <v>980</v>
      </c>
      <c r="E1" s="51" t="s">
        <v>981</v>
      </c>
      <c r="F1" s="51" t="s">
        <v>982</v>
      </c>
      <c r="G1" s="51" t="s">
        <v>983</v>
      </c>
      <c r="H1" s="51" t="s">
        <v>984</v>
      </c>
      <c r="I1" s="51" t="s">
        <v>985</v>
      </c>
      <c r="J1" s="51" t="s">
        <v>986</v>
      </c>
      <c r="K1" s="51" t="s">
        <v>987</v>
      </c>
      <c r="L1" s="51" t="s">
        <v>988</v>
      </c>
      <c r="M1" s="51" t="s">
        <v>989</v>
      </c>
      <c r="N1" s="51" t="s">
        <v>990</v>
      </c>
      <c r="O1" s="51" t="s">
        <v>991</v>
      </c>
      <c r="P1" s="51" t="s">
        <v>992</v>
      </c>
      <c r="Q1" s="51" t="s">
        <v>993</v>
      </c>
      <c r="R1" s="51" t="s">
        <v>994</v>
      </c>
      <c r="S1" s="51" t="s">
        <v>995</v>
      </c>
      <c r="T1" s="51" t="s">
        <v>996</v>
      </c>
      <c r="U1" s="51" t="s">
        <v>997</v>
      </c>
      <c r="V1" s="51" t="s">
        <v>998</v>
      </c>
      <c r="W1" s="51" t="s">
        <v>75</v>
      </c>
      <c r="X1" s="51" t="s">
        <v>999</v>
      </c>
      <c r="Y1" s="51" t="s">
        <v>1000</v>
      </c>
      <c r="Z1" s="51" t="s">
        <v>1001</v>
      </c>
      <c r="AA1" s="51" t="s">
        <v>208</v>
      </c>
      <c r="AB1" s="51" t="s">
        <v>92</v>
      </c>
    </row>
    <row r="2" ht="22.5" customHeight="1">
      <c r="A2" s="44" t="s">
        <v>1002</v>
      </c>
      <c r="B2" s="44" t="s">
        <v>1003</v>
      </c>
      <c r="C2" s="44" t="s">
        <v>629</v>
      </c>
      <c r="D2" s="45">
        <v>450.0</v>
      </c>
      <c r="E2" s="45">
        <v>15.0</v>
      </c>
      <c r="F2" s="45">
        <v>300.0</v>
      </c>
      <c r="G2" s="45">
        <v>135.0</v>
      </c>
      <c r="H2" s="45">
        <v>48.0</v>
      </c>
      <c r="I2" s="45">
        <v>65.0</v>
      </c>
      <c r="J2" s="45">
        <v>3.5</v>
      </c>
      <c r="K2" s="52">
        <v>1.0</v>
      </c>
      <c r="L2" s="44" t="s">
        <v>1004</v>
      </c>
      <c r="M2" s="44" t="s">
        <v>1005</v>
      </c>
      <c r="N2" s="44" t="s">
        <v>1006</v>
      </c>
      <c r="O2" s="44" t="s">
        <v>1007</v>
      </c>
      <c r="P2" s="44" t="s">
        <v>1008</v>
      </c>
      <c r="Q2" s="53">
        <v>1.3</v>
      </c>
      <c r="R2" s="53">
        <v>1.15</v>
      </c>
      <c r="S2" s="45">
        <v>4.8</v>
      </c>
      <c r="T2" s="46">
        <v>45884.0</v>
      </c>
      <c r="U2" s="44" t="s">
        <v>1009</v>
      </c>
      <c r="V2" s="44" t="s">
        <v>581</v>
      </c>
      <c r="W2" s="44" t="s">
        <v>118</v>
      </c>
      <c r="X2" s="45">
        <v>120.0</v>
      </c>
      <c r="Y2" s="45">
        <v>250.0</v>
      </c>
      <c r="Z2" s="45">
        <v>130.0</v>
      </c>
      <c r="AA2" s="44" t="s">
        <v>1010</v>
      </c>
      <c r="AB2" s="44" t="s">
        <v>1011</v>
      </c>
    </row>
    <row r="3" ht="22.5" customHeight="1">
      <c r="A3" s="44" t="s">
        <v>637</v>
      </c>
      <c r="B3" s="44" t="s">
        <v>1012</v>
      </c>
      <c r="C3" s="44" t="s">
        <v>619</v>
      </c>
      <c r="D3" s="45">
        <v>220.0</v>
      </c>
      <c r="E3" s="45">
        <v>0.0</v>
      </c>
      <c r="F3" s="45">
        <v>0.0</v>
      </c>
      <c r="G3" s="45">
        <v>220.0</v>
      </c>
      <c r="H3" s="45">
        <v>8.0</v>
      </c>
      <c r="I3" s="45">
        <v>35.0</v>
      </c>
      <c r="J3" s="45">
        <v>3.0</v>
      </c>
      <c r="K3" s="52">
        <v>2.0</v>
      </c>
      <c r="L3" s="44" t="s">
        <v>1013</v>
      </c>
      <c r="M3" s="44" t="s">
        <v>1014</v>
      </c>
      <c r="N3" s="44" t="s">
        <v>1006</v>
      </c>
      <c r="O3" s="44" t="s">
        <v>1006</v>
      </c>
      <c r="P3" s="44" t="s">
        <v>1015</v>
      </c>
      <c r="Q3" s="54">
        <v>0.0</v>
      </c>
      <c r="R3" s="54">
        <v>0.0</v>
      </c>
      <c r="S3" s="45">
        <v>0.0</v>
      </c>
      <c r="T3" s="44" t="s">
        <v>109</v>
      </c>
      <c r="U3" s="44" t="s">
        <v>1016</v>
      </c>
      <c r="V3" s="44" t="s">
        <v>1017</v>
      </c>
      <c r="W3" s="44" t="s">
        <v>102</v>
      </c>
      <c r="X3" s="45">
        <v>80.0</v>
      </c>
      <c r="Y3" s="45">
        <v>150.0</v>
      </c>
      <c r="Z3" s="45">
        <v>70.0</v>
      </c>
      <c r="AA3" s="44" t="s">
        <v>1018</v>
      </c>
      <c r="AB3" s="44" t="s">
        <v>1019</v>
      </c>
    </row>
    <row r="4" ht="22.5" customHeight="1">
      <c r="A4" s="44" t="s">
        <v>1020</v>
      </c>
      <c r="B4" s="44" t="s">
        <v>981</v>
      </c>
      <c r="C4" s="44" t="s">
        <v>629</v>
      </c>
      <c r="D4" s="45">
        <v>20.0</v>
      </c>
      <c r="E4" s="45">
        <v>20.0</v>
      </c>
      <c r="F4" s="45">
        <v>0.0</v>
      </c>
      <c r="G4" s="45">
        <v>0.0</v>
      </c>
      <c r="H4" s="45">
        <v>60.0</v>
      </c>
      <c r="I4" s="45">
        <v>90.0</v>
      </c>
      <c r="J4" s="45">
        <v>4.0</v>
      </c>
      <c r="K4" s="45">
        <v>0.0</v>
      </c>
      <c r="L4" s="44" t="s">
        <v>109</v>
      </c>
      <c r="M4" s="44" t="s">
        <v>1021</v>
      </c>
      <c r="N4" s="44" t="s">
        <v>1006</v>
      </c>
      <c r="O4" s="44" t="s">
        <v>1006</v>
      </c>
      <c r="P4" s="44" t="s">
        <v>1022</v>
      </c>
      <c r="Q4" s="54">
        <v>0.0</v>
      </c>
      <c r="R4" s="54">
        <v>0.0</v>
      </c>
      <c r="S4" s="45">
        <v>6.2</v>
      </c>
      <c r="T4" s="46">
        <v>45858.0</v>
      </c>
      <c r="U4" s="44" t="s">
        <v>1023</v>
      </c>
      <c r="V4" s="44" t="s">
        <v>1024</v>
      </c>
      <c r="W4" s="44" t="s">
        <v>1025</v>
      </c>
      <c r="X4" s="45">
        <v>150.0</v>
      </c>
      <c r="Y4" s="45">
        <v>0.0</v>
      </c>
      <c r="Z4" s="45">
        <v>-150.0</v>
      </c>
      <c r="AA4" s="44" t="s">
        <v>1026</v>
      </c>
      <c r="AB4" s="44" t="s">
        <v>1027</v>
      </c>
    </row>
    <row r="5" ht="22.5" customHeight="1">
      <c r="A5" s="44" t="s">
        <v>1028</v>
      </c>
      <c r="B5" s="44" t="s">
        <v>1029</v>
      </c>
      <c r="C5" s="44" t="s">
        <v>619</v>
      </c>
      <c r="D5" s="45">
        <v>180.0</v>
      </c>
      <c r="E5" s="45">
        <v>10.0</v>
      </c>
      <c r="F5" s="45">
        <v>50.0</v>
      </c>
      <c r="G5" s="45">
        <v>120.0</v>
      </c>
      <c r="H5" s="45">
        <v>10.0</v>
      </c>
      <c r="I5" s="45">
        <v>40.0</v>
      </c>
      <c r="J5" s="45">
        <v>3.2</v>
      </c>
      <c r="K5" s="52">
        <v>3.0</v>
      </c>
      <c r="L5" s="44" t="s">
        <v>1030</v>
      </c>
      <c r="M5" s="44" t="s">
        <v>164</v>
      </c>
      <c r="N5" s="44" t="s">
        <v>1006</v>
      </c>
      <c r="O5" s="44" t="s">
        <v>1006</v>
      </c>
      <c r="P5" s="44" t="s">
        <v>109</v>
      </c>
      <c r="Q5" s="54">
        <v>0.0</v>
      </c>
      <c r="R5" s="54">
        <v>0.0</v>
      </c>
      <c r="S5" s="45">
        <v>0.0</v>
      </c>
      <c r="T5" s="44" t="s">
        <v>109</v>
      </c>
      <c r="U5" s="44" t="s">
        <v>1031</v>
      </c>
      <c r="V5" s="44" t="s">
        <v>1032</v>
      </c>
      <c r="W5" s="44" t="s">
        <v>144</v>
      </c>
      <c r="X5" s="45">
        <v>95.0</v>
      </c>
      <c r="Y5" s="45">
        <v>180.0</v>
      </c>
      <c r="Z5" s="45">
        <v>85.0</v>
      </c>
      <c r="AA5" s="44" t="s">
        <v>1033</v>
      </c>
      <c r="AB5" s="44" t="s">
        <v>1034</v>
      </c>
    </row>
    <row r="6" ht="22.5" customHeight="1">
      <c r="A6" s="44" t="s">
        <v>1002</v>
      </c>
      <c r="B6" s="44" t="s">
        <v>1035</v>
      </c>
      <c r="C6" s="44" t="s">
        <v>619</v>
      </c>
      <c r="D6" s="45">
        <v>150.0</v>
      </c>
      <c r="E6" s="45">
        <v>0.0</v>
      </c>
      <c r="F6" s="45">
        <v>150.0</v>
      </c>
      <c r="G6" s="45">
        <v>0.0</v>
      </c>
      <c r="H6" s="45">
        <v>24.0</v>
      </c>
      <c r="I6" s="45">
        <v>55.0</v>
      </c>
      <c r="J6" s="45">
        <v>3.7</v>
      </c>
      <c r="K6" s="52">
        <v>4.0</v>
      </c>
      <c r="L6" s="44" t="s">
        <v>305</v>
      </c>
      <c r="M6" s="44" t="s">
        <v>1036</v>
      </c>
      <c r="N6" s="44" t="s">
        <v>1007</v>
      </c>
      <c r="O6" s="44" t="s">
        <v>1006</v>
      </c>
      <c r="P6" s="44" t="s">
        <v>1022</v>
      </c>
      <c r="Q6" s="54">
        <v>0.0</v>
      </c>
      <c r="R6" s="54">
        <v>0.0</v>
      </c>
      <c r="S6" s="45">
        <v>0.0</v>
      </c>
      <c r="T6" s="44" t="s">
        <v>109</v>
      </c>
      <c r="U6" s="44" t="s">
        <v>1037</v>
      </c>
      <c r="V6" s="44" t="s">
        <v>1038</v>
      </c>
      <c r="W6" s="44" t="s">
        <v>118</v>
      </c>
      <c r="X6" s="45">
        <v>100.0</v>
      </c>
      <c r="Y6" s="45">
        <v>0.0</v>
      </c>
      <c r="Z6" s="45">
        <v>-100.0</v>
      </c>
      <c r="AA6" s="44" t="s">
        <v>1010</v>
      </c>
      <c r="AB6" s="44" t="s">
        <v>1039</v>
      </c>
    </row>
    <row r="7" ht="22.5" customHeight="1">
      <c r="A7" s="44" t="s">
        <v>637</v>
      </c>
      <c r="B7" s="44" t="s">
        <v>1040</v>
      </c>
      <c r="C7" s="44" t="s">
        <v>629</v>
      </c>
      <c r="D7" s="45">
        <v>200.0</v>
      </c>
      <c r="E7" s="45">
        <v>5.0</v>
      </c>
      <c r="F7" s="45">
        <v>200.0</v>
      </c>
      <c r="G7" s="45">
        <v>190.0</v>
      </c>
      <c r="H7" s="45">
        <v>54.0</v>
      </c>
      <c r="I7" s="45">
        <v>70.0</v>
      </c>
      <c r="J7" s="45">
        <v>3.8</v>
      </c>
      <c r="K7" s="52">
        <v>3.0</v>
      </c>
      <c r="L7" s="44" t="s">
        <v>1004</v>
      </c>
      <c r="M7" s="44" t="s">
        <v>1041</v>
      </c>
      <c r="N7" s="44" t="s">
        <v>1006</v>
      </c>
      <c r="O7" s="44" t="s">
        <v>1007</v>
      </c>
      <c r="P7" s="44" t="s">
        <v>1042</v>
      </c>
      <c r="Q7" s="53">
        <v>0.95</v>
      </c>
      <c r="R7" s="53">
        <v>0.8</v>
      </c>
      <c r="S7" s="45">
        <v>5.0</v>
      </c>
      <c r="T7" s="46">
        <v>45870.0</v>
      </c>
      <c r="U7" s="44" t="s">
        <v>1043</v>
      </c>
      <c r="V7" s="44" t="s">
        <v>1044</v>
      </c>
      <c r="W7" s="44" t="s">
        <v>102</v>
      </c>
      <c r="X7" s="45">
        <v>130.0</v>
      </c>
      <c r="Y7" s="45">
        <v>260.0</v>
      </c>
      <c r="Z7" s="45">
        <v>130.0</v>
      </c>
      <c r="AA7" s="44" t="s">
        <v>1018</v>
      </c>
      <c r="AB7" s="44" t="s">
        <v>1045</v>
      </c>
    </row>
    <row r="8" ht="22.5" customHeight="1">
      <c r="A8" s="44" t="s">
        <v>1020</v>
      </c>
      <c r="B8" s="44" t="s">
        <v>1046</v>
      </c>
      <c r="C8" s="44" t="s">
        <v>629</v>
      </c>
      <c r="D8" s="45">
        <v>100.0</v>
      </c>
      <c r="E8" s="45">
        <v>0.0</v>
      </c>
      <c r="F8" s="45">
        <v>0.0</v>
      </c>
      <c r="G8" s="45">
        <v>100.0</v>
      </c>
      <c r="H8" s="45">
        <v>6.0</v>
      </c>
      <c r="I8" s="45">
        <v>28.0</v>
      </c>
      <c r="J8" s="45">
        <v>2.9</v>
      </c>
      <c r="K8" s="52">
        <v>1.0</v>
      </c>
      <c r="L8" s="44" t="s">
        <v>1013</v>
      </c>
      <c r="M8" s="44" t="s">
        <v>1047</v>
      </c>
      <c r="N8" s="44" t="s">
        <v>1006</v>
      </c>
      <c r="O8" s="44" t="s">
        <v>1006</v>
      </c>
      <c r="P8" s="44" t="s">
        <v>1015</v>
      </c>
      <c r="Q8" s="54">
        <v>0.0</v>
      </c>
      <c r="R8" s="54">
        <v>0.0</v>
      </c>
      <c r="S8" s="45">
        <v>0.0</v>
      </c>
      <c r="T8" s="44" t="s">
        <v>109</v>
      </c>
      <c r="U8" s="44" t="s">
        <v>1048</v>
      </c>
      <c r="V8" s="44" t="s">
        <v>617</v>
      </c>
      <c r="W8" s="44" t="s">
        <v>1025</v>
      </c>
      <c r="X8" s="45">
        <v>70.0</v>
      </c>
      <c r="Y8" s="45">
        <v>140.0</v>
      </c>
      <c r="Z8" s="45">
        <v>70.0</v>
      </c>
      <c r="AA8" s="44" t="s">
        <v>1026</v>
      </c>
      <c r="AB8" s="44" t="s">
        <v>1049</v>
      </c>
    </row>
    <row r="9" ht="22.5" customHeight="1">
      <c r="A9" s="44" t="s">
        <v>1028</v>
      </c>
      <c r="B9" s="44" t="s">
        <v>1050</v>
      </c>
      <c r="C9" s="44" t="s">
        <v>619</v>
      </c>
      <c r="D9" s="45">
        <v>80.0</v>
      </c>
      <c r="E9" s="45">
        <v>0.0</v>
      </c>
      <c r="F9" s="45">
        <v>80.0</v>
      </c>
      <c r="G9" s="45">
        <v>0.0</v>
      </c>
      <c r="H9" s="45">
        <v>72.0</v>
      </c>
      <c r="I9" s="45">
        <v>60.0</v>
      </c>
      <c r="J9" s="45">
        <v>3.1</v>
      </c>
      <c r="K9" s="52">
        <v>2.0</v>
      </c>
      <c r="L9" s="44" t="s">
        <v>1004</v>
      </c>
      <c r="M9" s="44" t="s">
        <v>1051</v>
      </c>
      <c r="N9" s="44" t="s">
        <v>1007</v>
      </c>
      <c r="O9" s="44" t="s">
        <v>1007</v>
      </c>
      <c r="P9" s="44" t="s">
        <v>1022</v>
      </c>
      <c r="Q9" s="54">
        <v>0.0</v>
      </c>
      <c r="R9" s="54">
        <v>0.0</v>
      </c>
      <c r="S9" s="45">
        <v>0.0</v>
      </c>
      <c r="T9" s="46">
        <v>45843.0</v>
      </c>
      <c r="U9" s="44" t="s">
        <v>1052</v>
      </c>
      <c r="V9" s="44" t="s">
        <v>1053</v>
      </c>
      <c r="W9" s="44" t="s">
        <v>144</v>
      </c>
      <c r="X9" s="45">
        <v>110.0</v>
      </c>
      <c r="Y9" s="45">
        <v>0.0</v>
      </c>
      <c r="Z9" s="45">
        <v>-110.0</v>
      </c>
      <c r="AA9" s="44" t="s">
        <v>1033</v>
      </c>
      <c r="AB9" s="44" t="s">
        <v>1054</v>
      </c>
    </row>
    <row r="10" ht="22.5" customHeight="1">
      <c r="A10" s="44" t="s">
        <v>1002</v>
      </c>
      <c r="B10" s="44" t="s">
        <v>1055</v>
      </c>
      <c r="C10" s="44" t="s">
        <v>1056</v>
      </c>
      <c r="D10" s="45">
        <v>180.0</v>
      </c>
      <c r="E10" s="45">
        <v>0.0</v>
      </c>
      <c r="F10" s="45">
        <v>0.0</v>
      </c>
      <c r="G10" s="45">
        <v>180.0</v>
      </c>
      <c r="H10" s="45">
        <v>7.0</v>
      </c>
      <c r="I10" s="45">
        <v>32.0</v>
      </c>
      <c r="J10" s="45">
        <v>3.1</v>
      </c>
      <c r="K10" s="52">
        <v>2.0</v>
      </c>
      <c r="L10" s="44" t="s">
        <v>1030</v>
      </c>
      <c r="M10" s="44" t="s">
        <v>164</v>
      </c>
      <c r="N10" s="44" t="s">
        <v>1006</v>
      </c>
      <c r="O10" s="44" t="s">
        <v>1006</v>
      </c>
      <c r="P10" s="44" t="s">
        <v>109</v>
      </c>
      <c r="Q10" s="54">
        <v>0.0</v>
      </c>
      <c r="R10" s="54">
        <v>0.0</v>
      </c>
      <c r="S10" s="45">
        <v>0.0</v>
      </c>
      <c r="T10" s="44" t="s">
        <v>109</v>
      </c>
      <c r="U10" s="44" t="s">
        <v>1057</v>
      </c>
      <c r="V10" s="44" t="s">
        <v>1058</v>
      </c>
      <c r="W10" s="44" t="s">
        <v>118</v>
      </c>
      <c r="X10" s="45">
        <v>85.0</v>
      </c>
      <c r="Y10" s="45">
        <v>160.0</v>
      </c>
      <c r="Z10" s="45">
        <v>75.0</v>
      </c>
      <c r="AA10" s="44" t="s">
        <v>1010</v>
      </c>
      <c r="AB10" s="44" t="s">
        <v>1059</v>
      </c>
    </row>
    <row r="18"/>
    <row r="19"/>
    <row r="20"/>
    <row r="21"/>
    <row r="22"/>
    <row r="23"/>
    <row r="24"/>
    <row r="25"/>
    <row r="26"/>
    <row r="27"/>
    <row r="28"/>
  </sheetData>
  <dataValidations>
    <dataValidation type="custom" allowBlank="1" showDropDown="1" sqref="D2:K10 Q2:S10 X2:Z10">
      <formula1>AND(ISNUMBER(D2),(NOT(OR(NOT(ISERROR(DATEVALUE(D2))), AND(ISNUMBER(D2), LEFT(CELL("format", D2))="D")))))</formula1>
    </dataValidation>
  </dataValidation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2" width="18.25"/>
    <col customWidth="1" min="3" max="3" width="15.25"/>
    <col customWidth="1" min="4" max="5" width="15.63"/>
    <col customWidth="1" min="6" max="27" width="11.63"/>
  </cols>
  <sheetData>
    <row r="1">
      <c r="A1" s="56" t="s">
        <v>1062</v>
      </c>
      <c r="B1" s="57"/>
      <c r="C1" s="57"/>
      <c r="D1" s="57"/>
      <c r="E1" s="58"/>
      <c r="I1" s="5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>
      <c r="A2" s="57"/>
      <c r="B2" s="57"/>
      <c r="C2" s="57"/>
      <c r="D2" s="57"/>
      <c r="E2" s="58"/>
      <c r="I2" s="59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ht="22.5" customHeight="1">
      <c r="A3" s="60" t="s">
        <v>1063</v>
      </c>
      <c r="B3" s="60" t="s">
        <v>1064</v>
      </c>
      <c r="C3" s="60" t="s">
        <v>1065</v>
      </c>
      <c r="D3" s="60" t="s">
        <v>1066</v>
      </c>
      <c r="E3" s="61" t="s">
        <v>1067</v>
      </c>
      <c r="F3" s="60" t="s">
        <v>1068</v>
      </c>
      <c r="G3" s="60" t="s">
        <v>1069</v>
      </c>
      <c r="H3" s="60" t="s">
        <v>1070</v>
      </c>
      <c r="I3" s="60" t="s">
        <v>1071</v>
      </c>
      <c r="J3" s="60" t="s">
        <v>1072</v>
      </c>
      <c r="K3" s="60" t="s">
        <v>1073</v>
      </c>
      <c r="L3" s="60" t="s">
        <v>1074</v>
      </c>
      <c r="M3" s="60" t="s">
        <v>1075</v>
      </c>
      <c r="N3" s="60" t="s">
        <v>1076</v>
      </c>
      <c r="O3" s="60" t="s">
        <v>1077</v>
      </c>
      <c r="P3" s="60" t="s">
        <v>1078</v>
      </c>
      <c r="Q3" s="60" t="s">
        <v>1079</v>
      </c>
      <c r="R3" s="60" t="s">
        <v>1080</v>
      </c>
      <c r="S3" s="60" t="s">
        <v>1081</v>
      </c>
      <c r="T3" s="60" t="s">
        <v>1082</v>
      </c>
      <c r="U3" s="60" t="s">
        <v>1083</v>
      </c>
      <c r="V3" s="60" t="s">
        <v>1084</v>
      </c>
      <c r="W3" s="60" t="s">
        <v>1085</v>
      </c>
      <c r="X3" s="60" t="s">
        <v>1086</v>
      </c>
      <c r="Y3" s="60" t="s">
        <v>1087</v>
      </c>
      <c r="Z3" s="60" t="s">
        <v>1088</v>
      </c>
      <c r="AA3" s="60" t="s">
        <v>1089</v>
      </c>
    </row>
    <row r="4" ht="22.5" customHeight="1">
      <c r="A4" s="62" t="s">
        <v>246</v>
      </c>
      <c r="B4" s="62" t="s">
        <v>1090</v>
      </c>
      <c r="C4" s="62" t="s">
        <v>1091</v>
      </c>
      <c r="D4" s="62">
        <v>2021.0</v>
      </c>
      <c r="E4" s="63">
        <v>22.9580921452</v>
      </c>
      <c r="F4" s="64" t="s">
        <v>1092</v>
      </c>
      <c r="G4" s="64" t="s">
        <v>1092</v>
      </c>
      <c r="H4" s="64" t="s">
        <v>1092</v>
      </c>
      <c r="I4" s="64" t="s">
        <v>1092</v>
      </c>
      <c r="J4" s="62">
        <v>0.0</v>
      </c>
      <c r="K4" s="62">
        <v>6000.0</v>
      </c>
      <c r="L4" s="62">
        <v>5000.0</v>
      </c>
      <c r="M4" s="62">
        <v>0.0</v>
      </c>
      <c r="N4" s="62">
        <v>0.0</v>
      </c>
      <c r="O4" s="62">
        <v>0.0</v>
      </c>
      <c r="P4" s="62">
        <v>0.0</v>
      </c>
      <c r="Q4" s="62">
        <v>0.0</v>
      </c>
      <c r="R4" s="62">
        <v>0.0</v>
      </c>
      <c r="S4" s="62">
        <v>12000.0</v>
      </c>
      <c r="T4" s="62">
        <v>0.0</v>
      </c>
      <c r="U4" s="62">
        <v>8000.0</v>
      </c>
      <c r="V4" s="62">
        <v>6000.0</v>
      </c>
      <c r="W4" s="62">
        <v>0.0</v>
      </c>
      <c r="X4" s="62">
        <v>0.0</v>
      </c>
      <c r="Y4" s="62">
        <v>4000.0</v>
      </c>
      <c r="Z4" s="62">
        <v>4000.0</v>
      </c>
      <c r="AA4" s="62">
        <v>4000.0</v>
      </c>
    </row>
    <row r="5" ht="22.5" customHeight="1">
      <c r="A5" s="62" t="s">
        <v>95</v>
      </c>
      <c r="B5" s="62" t="s">
        <v>1093</v>
      </c>
      <c r="C5" s="62" t="s">
        <v>1094</v>
      </c>
      <c r="D5" s="62">
        <v>2021.0</v>
      </c>
      <c r="E5" s="63">
        <v>31.0370262599</v>
      </c>
      <c r="F5" s="64" t="s">
        <v>1092</v>
      </c>
      <c r="G5" s="64" t="s">
        <v>1092</v>
      </c>
      <c r="H5" s="64" t="s">
        <v>1092</v>
      </c>
      <c r="I5" s="64" t="s">
        <v>1092</v>
      </c>
      <c r="J5" s="62">
        <v>12000.0</v>
      </c>
      <c r="K5" s="62">
        <v>4000.0</v>
      </c>
      <c r="L5" s="62">
        <v>0.0</v>
      </c>
      <c r="M5" s="62">
        <v>0.0</v>
      </c>
      <c r="N5" s="62">
        <v>0.0</v>
      </c>
      <c r="O5" s="62">
        <v>7000.0</v>
      </c>
      <c r="P5" s="62">
        <v>13000.0</v>
      </c>
      <c r="Q5" s="62">
        <v>10000.0</v>
      </c>
      <c r="R5" s="62">
        <v>0.0</v>
      </c>
      <c r="S5" s="62">
        <v>0.0</v>
      </c>
      <c r="T5" s="62">
        <v>0.0</v>
      </c>
      <c r="U5" s="62">
        <v>6000.0</v>
      </c>
      <c r="V5" s="62">
        <v>2000.0</v>
      </c>
      <c r="W5" s="62">
        <v>0.0</v>
      </c>
      <c r="X5" s="62">
        <v>0.0</v>
      </c>
      <c r="Y5" s="62">
        <v>12000.0</v>
      </c>
      <c r="Z5" s="62">
        <v>18000.0</v>
      </c>
      <c r="AA5" s="62">
        <v>18000.0</v>
      </c>
    </row>
    <row r="6" ht="22.5" customHeight="1">
      <c r="A6" s="62" t="s">
        <v>246</v>
      </c>
      <c r="B6" s="62" t="s">
        <v>1095</v>
      </c>
      <c r="C6" s="62" t="s">
        <v>1096</v>
      </c>
      <c r="D6" s="62">
        <v>2022.0</v>
      </c>
      <c r="E6" s="63">
        <v>21.1987533783</v>
      </c>
      <c r="F6" s="64" t="s">
        <v>1092</v>
      </c>
      <c r="G6" s="64" t="s">
        <v>1092</v>
      </c>
      <c r="H6" s="64" t="s">
        <v>1092</v>
      </c>
      <c r="I6" s="64" t="s">
        <v>1092</v>
      </c>
      <c r="J6" s="62">
        <v>0.0</v>
      </c>
      <c r="K6" s="62">
        <v>0.0</v>
      </c>
      <c r="L6" s="62">
        <v>0.0</v>
      </c>
      <c r="M6" s="62">
        <v>8000.0</v>
      </c>
      <c r="N6" s="62">
        <v>0.0</v>
      </c>
      <c r="O6" s="62">
        <v>0.0</v>
      </c>
      <c r="P6" s="62">
        <v>0.0</v>
      </c>
      <c r="Q6" s="62">
        <v>0.0</v>
      </c>
      <c r="R6" s="62">
        <v>0.0</v>
      </c>
      <c r="S6" s="62">
        <v>16000.0</v>
      </c>
      <c r="T6" s="62">
        <v>0.0</v>
      </c>
      <c r="U6" s="62">
        <v>12000.0</v>
      </c>
      <c r="V6" s="62">
        <v>5000.0</v>
      </c>
      <c r="W6" s="62">
        <v>0.0</v>
      </c>
      <c r="X6" s="62">
        <v>0.0</v>
      </c>
      <c r="Y6" s="62">
        <v>0.0</v>
      </c>
      <c r="Z6" s="62">
        <v>6000.0</v>
      </c>
      <c r="AA6" s="62">
        <v>5000.0</v>
      </c>
    </row>
    <row r="7" ht="22.5" customHeight="1">
      <c r="A7" s="62" t="s">
        <v>246</v>
      </c>
      <c r="B7" s="62" t="s">
        <v>1097</v>
      </c>
      <c r="C7" s="62" t="s">
        <v>1098</v>
      </c>
      <c r="D7" s="62">
        <v>2022.0</v>
      </c>
      <c r="E7" s="63">
        <v>17.0329955136</v>
      </c>
      <c r="F7" s="64" t="s">
        <v>1092</v>
      </c>
      <c r="G7" s="64" t="s">
        <v>1092</v>
      </c>
      <c r="H7" s="64" t="s">
        <v>1092</v>
      </c>
      <c r="I7" s="64" t="s">
        <v>1092</v>
      </c>
      <c r="J7" s="62">
        <v>0.0</v>
      </c>
      <c r="K7" s="62">
        <v>4000.0</v>
      </c>
      <c r="L7" s="62">
        <v>0.0</v>
      </c>
      <c r="M7" s="62">
        <v>0.0</v>
      </c>
      <c r="N7" s="62">
        <v>0.0</v>
      </c>
      <c r="O7" s="62">
        <v>0.0</v>
      </c>
      <c r="P7" s="62">
        <v>0.0</v>
      </c>
      <c r="Q7" s="62">
        <v>0.0</v>
      </c>
      <c r="R7" s="62">
        <v>12000.0</v>
      </c>
      <c r="S7" s="62">
        <v>17000.0</v>
      </c>
      <c r="T7" s="62">
        <v>0.0</v>
      </c>
      <c r="U7" s="62">
        <v>5000.0</v>
      </c>
      <c r="V7" s="62">
        <v>0.0</v>
      </c>
      <c r="W7" s="62">
        <v>0.0</v>
      </c>
      <c r="X7" s="62">
        <v>0.0</v>
      </c>
      <c r="Y7" s="62">
        <v>0.0</v>
      </c>
      <c r="Z7" s="62">
        <v>7500.0</v>
      </c>
      <c r="AA7" s="62">
        <v>8000.0</v>
      </c>
    </row>
    <row r="8" ht="22.5" customHeight="1">
      <c r="A8" s="62" t="s">
        <v>95</v>
      </c>
      <c r="B8" s="62" t="s">
        <v>1099</v>
      </c>
      <c r="C8" s="62" t="s">
        <v>1100</v>
      </c>
      <c r="D8" s="62">
        <v>2022.0</v>
      </c>
      <c r="E8" s="63">
        <v>41.9793488172</v>
      </c>
      <c r="F8" s="64" t="s">
        <v>1092</v>
      </c>
      <c r="G8" s="64" t="s">
        <v>1092</v>
      </c>
      <c r="H8" s="64" t="s">
        <v>1092</v>
      </c>
      <c r="I8" s="64" t="s">
        <v>1092</v>
      </c>
      <c r="J8" s="62">
        <v>15000.0</v>
      </c>
      <c r="K8" s="62">
        <v>20000.0</v>
      </c>
      <c r="L8" s="62">
        <v>25000.0</v>
      </c>
      <c r="M8" s="62">
        <v>10000.0</v>
      </c>
      <c r="N8" s="62">
        <v>5000.0</v>
      </c>
      <c r="O8" s="62">
        <v>0.0</v>
      </c>
      <c r="P8" s="62">
        <v>9000.0</v>
      </c>
      <c r="Q8" s="62">
        <v>15000.0</v>
      </c>
      <c r="R8" s="62">
        <v>30000.0</v>
      </c>
      <c r="S8" s="62">
        <v>20000.0</v>
      </c>
      <c r="T8" s="62">
        <v>0.0</v>
      </c>
      <c r="U8" s="62">
        <v>5000.0</v>
      </c>
      <c r="V8" s="62">
        <v>3000.0</v>
      </c>
      <c r="W8" s="62">
        <v>0.0</v>
      </c>
      <c r="X8" s="62">
        <v>0.0</v>
      </c>
      <c r="Y8" s="62">
        <v>0.0</v>
      </c>
      <c r="Z8" s="62">
        <v>16000.0</v>
      </c>
      <c r="AA8" s="62">
        <v>30000.0</v>
      </c>
    </row>
    <row r="9" ht="22.5" customHeight="1">
      <c r="A9" s="62" t="s">
        <v>95</v>
      </c>
      <c r="B9" s="62" t="s">
        <v>1101</v>
      </c>
      <c r="C9" s="62" t="s">
        <v>1102</v>
      </c>
      <c r="D9" s="62">
        <v>2022.0</v>
      </c>
      <c r="E9" s="63">
        <v>7.2930020469</v>
      </c>
      <c r="F9" s="64" t="s">
        <v>1092</v>
      </c>
      <c r="G9" s="64" t="s">
        <v>1092</v>
      </c>
      <c r="H9" s="64" t="s">
        <v>1092</v>
      </c>
      <c r="I9" s="64" t="s">
        <v>1092</v>
      </c>
      <c r="J9" s="62">
        <v>0.0</v>
      </c>
      <c r="K9" s="62">
        <v>0.0</v>
      </c>
      <c r="L9" s="62">
        <v>0.0</v>
      </c>
      <c r="M9" s="62">
        <v>0.0</v>
      </c>
      <c r="N9" s="62">
        <v>0.0</v>
      </c>
      <c r="O9" s="62">
        <v>0.0</v>
      </c>
      <c r="P9" s="62">
        <v>0.0</v>
      </c>
      <c r="Q9" s="62">
        <v>0.0</v>
      </c>
      <c r="R9" s="62">
        <v>3500.0</v>
      </c>
      <c r="S9" s="62">
        <v>3500.0</v>
      </c>
      <c r="T9" s="62">
        <v>0.0</v>
      </c>
      <c r="U9" s="62">
        <v>2000.0</v>
      </c>
      <c r="V9" s="62">
        <v>0.0</v>
      </c>
      <c r="W9" s="62">
        <v>0.0</v>
      </c>
      <c r="X9" s="62">
        <v>0.0</v>
      </c>
      <c r="Y9" s="62">
        <v>0.0</v>
      </c>
      <c r="Z9" s="62">
        <v>2000.0</v>
      </c>
      <c r="AA9" s="62">
        <v>2000.0</v>
      </c>
    </row>
    <row r="10" ht="22.5" customHeight="1">
      <c r="A10" s="62" t="s">
        <v>95</v>
      </c>
      <c r="B10" s="62" t="s">
        <v>1103</v>
      </c>
      <c r="C10" s="62" t="s">
        <v>1104</v>
      </c>
      <c r="D10" s="62">
        <v>2022.0</v>
      </c>
      <c r="E10" s="63">
        <v>16.8565995196</v>
      </c>
      <c r="F10" s="64" t="s">
        <v>1092</v>
      </c>
      <c r="G10" s="64" t="s">
        <v>1092</v>
      </c>
      <c r="H10" s="64" t="s">
        <v>1092</v>
      </c>
      <c r="I10" s="64" t="s">
        <v>1092</v>
      </c>
      <c r="J10" s="62">
        <v>0.0</v>
      </c>
      <c r="K10" s="62">
        <v>0.0</v>
      </c>
      <c r="L10" s="62">
        <v>0.0</v>
      </c>
      <c r="M10" s="62">
        <v>0.0</v>
      </c>
      <c r="N10" s="62">
        <v>0.0</v>
      </c>
      <c r="O10" s="62">
        <v>0.0</v>
      </c>
      <c r="P10" s="62">
        <v>2000.0</v>
      </c>
      <c r="Q10" s="62">
        <v>6000.0</v>
      </c>
      <c r="R10" s="62">
        <v>11000.0</v>
      </c>
      <c r="S10" s="62">
        <v>7000.0</v>
      </c>
      <c r="T10" s="62">
        <v>0.0</v>
      </c>
      <c r="U10" s="62">
        <v>1000.0</v>
      </c>
      <c r="V10" s="62">
        <v>0.0</v>
      </c>
      <c r="W10" s="62">
        <v>12000.0</v>
      </c>
      <c r="X10" s="62">
        <v>0.0</v>
      </c>
      <c r="Y10" s="62">
        <v>0.0</v>
      </c>
      <c r="Z10" s="62">
        <v>7000.0</v>
      </c>
      <c r="AA10" s="62">
        <v>5000.0</v>
      </c>
    </row>
    <row r="11" ht="22.5" customHeight="1">
      <c r="A11" s="62" t="s">
        <v>95</v>
      </c>
      <c r="B11" s="62" t="s">
        <v>1105</v>
      </c>
      <c r="C11" s="62" t="s">
        <v>1106</v>
      </c>
      <c r="D11" s="62">
        <v>2022.0</v>
      </c>
      <c r="E11" s="63">
        <v>21.6269020049</v>
      </c>
      <c r="F11" s="64" t="s">
        <v>1092</v>
      </c>
      <c r="G11" s="64" t="s">
        <v>1092</v>
      </c>
      <c r="H11" s="64" t="s">
        <v>1092</v>
      </c>
      <c r="I11" s="64" t="s">
        <v>1092</v>
      </c>
      <c r="J11" s="62">
        <v>8000.0</v>
      </c>
      <c r="K11" s="62">
        <v>0.0</v>
      </c>
      <c r="L11" s="62">
        <v>0.0</v>
      </c>
      <c r="M11" s="62">
        <v>0.0</v>
      </c>
      <c r="N11" s="62">
        <v>0.0</v>
      </c>
      <c r="O11" s="62">
        <v>0.0</v>
      </c>
      <c r="P11" s="62">
        <v>8000.0</v>
      </c>
      <c r="Q11" s="62">
        <v>8000.0</v>
      </c>
      <c r="R11" s="62">
        <v>4000.0</v>
      </c>
      <c r="S11" s="62">
        <v>0.0</v>
      </c>
      <c r="T11" s="62">
        <v>0.0</v>
      </c>
      <c r="U11" s="62">
        <v>6000.0</v>
      </c>
      <c r="V11" s="62">
        <v>15000.0</v>
      </c>
      <c r="W11" s="62">
        <v>15000.0</v>
      </c>
      <c r="X11" s="62">
        <v>0.0</v>
      </c>
      <c r="Y11" s="62">
        <v>0.0</v>
      </c>
      <c r="Z11" s="62">
        <v>8000.0</v>
      </c>
      <c r="AA11" s="62">
        <v>12000.0</v>
      </c>
    </row>
    <row r="12" ht="22.5" customHeight="1">
      <c r="A12" s="62" t="s">
        <v>234</v>
      </c>
      <c r="B12" s="62" t="s">
        <v>1107</v>
      </c>
      <c r="C12" s="62" t="s">
        <v>1108</v>
      </c>
      <c r="D12" s="62">
        <v>2022.0</v>
      </c>
      <c r="E12" s="63">
        <v>52.1536105648</v>
      </c>
      <c r="F12" s="64" t="s">
        <v>1092</v>
      </c>
      <c r="G12" s="64" t="s">
        <v>1092</v>
      </c>
      <c r="H12" s="64" t="s">
        <v>1092</v>
      </c>
      <c r="I12" s="64" t="s">
        <v>1092</v>
      </c>
      <c r="J12" s="62">
        <v>5000.0</v>
      </c>
      <c r="K12" s="62">
        <v>0.0</v>
      </c>
      <c r="L12" s="62">
        <v>0.0</v>
      </c>
      <c r="M12" s="62">
        <v>25000.0</v>
      </c>
      <c r="N12" s="62">
        <v>20000.0</v>
      </c>
      <c r="O12" s="62">
        <v>15000.0</v>
      </c>
      <c r="P12" s="62">
        <v>10000.0</v>
      </c>
      <c r="Q12" s="62">
        <v>0.0</v>
      </c>
      <c r="R12" s="62">
        <v>0.0</v>
      </c>
      <c r="S12" s="62">
        <v>21000.0</v>
      </c>
      <c r="T12" s="62">
        <v>0.0</v>
      </c>
      <c r="U12" s="62">
        <v>6000.0</v>
      </c>
      <c r="V12" s="62">
        <v>2000.0</v>
      </c>
      <c r="W12" s="62">
        <v>8000.0</v>
      </c>
      <c r="X12" s="62">
        <v>0.0</v>
      </c>
      <c r="Y12" s="62">
        <v>0.0</v>
      </c>
      <c r="Z12" s="62">
        <v>31000.0</v>
      </c>
      <c r="AA12" s="62">
        <v>31000.0</v>
      </c>
    </row>
    <row r="13" ht="22.5" customHeight="1">
      <c r="A13" s="62" t="s">
        <v>234</v>
      </c>
      <c r="B13" s="62" t="s">
        <v>1109</v>
      </c>
      <c r="C13" s="62" t="s">
        <v>1110</v>
      </c>
      <c r="D13" s="62">
        <v>2022.0</v>
      </c>
      <c r="E13" s="63">
        <v>23.0283132751</v>
      </c>
      <c r="F13" s="64" t="s">
        <v>1092</v>
      </c>
      <c r="G13" s="64" t="s">
        <v>1092</v>
      </c>
      <c r="H13" s="64" t="s">
        <v>1092</v>
      </c>
      <c r="I13" s="64" t="s">
        <v>1092</v>
      </c>
      <c r="J13" s="62">
        <v>9000.0</v>
      </c>
      <c r="K13" s="62">
        <v>0.0</v>
      </c>
      <c r="L13" s="62">
        <v>0.0</v>
      </c>
      <c r="M13" s="62">
        <v>0.0</v>
      </c>
      <c r="N13" s="62">
        <v>0.0</v>
      </c>
      <c r="O13" s="62">
        <v>0.0</v>
      </c>
      <c r="P13" s="62">
        <v>0.0</v>
      </c>
      <c r="Q13" s="62">
        <v>0.0</v>
      </c>
      <c r="R13" s="62">
        <v>0.0</v>
      </c>
      <c r="S13" s="62">
        <v>4000.0</v>
      </c>
      <c r="T13" s="62">
        <v>0.0</v>
      </c>
      <c r="U13" s="62">
        <v>8000.0</v>
      </c>
      <c r="V13" s="62">
        <v>7000.0</v>
      </c>
      <c r="W13" s="62">
        <v>7000.0</v>
      </c>
      <c r="X13" s="62">
        <v>0.0</v>
      </c>
      <c r="Y13" s="62">
        <v>0.0</v>
      </c>
      <c r="Z13" s="62">
        <v>12000.0</v>
      </c>
      <c r="AA13" s="62">
        <v>10000.0</v>
      </c>
    </row>
    <row r="14" ht="22.5" customHeight="1">
      <c r="A14" s="62" t="s">
        <v>246</v>
      </c>
      <c r="B14" s="62" t="s">
        <v>1111</v>
      </c>
      <c r="C14" s="62" t="s">
        <v>1112</v>
      </c>
      <c r="D14" s="62">
        <v>2023.0</v>
      </c>
      <c r="E14" s="63">
        <v>8.68807045352</v>
      </c>
      <c r="F14" s="64" t="s">
        <v>1092</v>
      </c>
      <c r="G14" s="64" t="s">
        <v>1092</v>
      </c>
      <c r="H14" s="64" t="s">
        <v>1092</v>
      </c>
      <c r="I14" s="64" t="s">
        <v>1092</v>
      </c>
      <c r="J14" s="62">
        <v>0.0</v>
      </c>
      <c r="K14" s="62">
        <v>0.0</v>
      </c>
      <c r="L14" s="62">
        <v>0.0</v>
      </c>
      <c r="M14" s="62">
        <v>0.0</v>
      </c>
      <c r="N14" s="62">
        <v>0.0</v>
      </c>
      <c r="O14" s="62">
        <v>0.0</v>
      </c>
      <c r="P14" s="62">
        <v>0.0</v>
      </c>
      <c r="Q14" s="62">
        <v>0.0</v>
      </c>
      <c r="R14" s="62">
        <v>0.0</v>
      </c>
      <c r="S14" s="62">
        <v>0.0</v>
      </c>
      <c r="T14" s="62">
        <v>0.0</v>
      </c>
      <c r="U14" s="62">
        <v>0.0</v>
      </c>
      <c r="V14" s="62">
        <v>0.0</v>
      </c>
      <c r="W14" s="62">
        <v>0.0</v>
      </c>
      <c r="X14" s="62">
        <v>0.0</v>
      </c>
      <c r="Y14" s="62">
        <v>0.0</v>
      </c>
      <c r="Z14" s="62">
        <v>0.0</v>
      </c>
      <c r="AA14" s="62">
        <v>2000.0</v>
      </c>
    </row>
    <row r="15" ht="22.5" customHeight="1">
      <c r="A15" s="62" t="s">
        <v>246</v>
      </c>
      <c r="B15" s="62" t="s">
        <v>1113</v>
      </c>
      <c r="C15" s="62" t="s">
        <v>1114</v>
      </c>
      <c r="D15" s="62">
        <v>2023.0</v>
      </c>
      <c r="E15" s="63">
        <v>42.8989254987</v>
      </c>
      <c r="F15" s="64" t="s">
        <v>1092</v>
      </c>
      <c r="G15" s="64" t="s">
        <v>1092</v>
      </c>
      <c r="H15" s="64" t="s">
        <v>1092</v>
      </c>
      <c r="I15" s="64" t="s">
        <v>1092</v>
      </c>
      <c r="J15" s="62">
        <v>0.0</v>
      </c>
      <c r="K15" s="62">
        <v>7000.0</v>
      </c>
      <c r="L15" s="62">
        <v>5000.0</v>
      </c>
      <c r="M15" s="62">
        <v>0.0</v>
      </c>
      <c r="N15" s="62">
        <v>0.0</v>
      </c>
      <c r="O15" s="62">
        <v>0.0</v>
      </c>
      <c r="P15" s="62">
        <v>0.0</v>
      </c>
      <c r="Q15" s="62">
        <v>0.0</v>
      </c>
      <c r="R15" s="62">
        <v>0.0</v>
      </c>
      <c r="S15" s="62">
        <v>25000.0</v>
      </c>
      <c r="T15" s="62">
        <v>0.0</v>
      </c>
      <c r="U15" s="62">
        <v>20000.0</v>
      </c>
      <c r="V15" s="62">
        <v>8000.0</v>
      </c>
      <c r="W15" s="62">
        <v>0.0</v>
      </c>
      <c r="X15" s="62">
        <v>0.0</v>
      </c>
      <c r="Y15" s="62">
        <v>0.0</v>
      </c>
      <c r="Z15" s="62">
        <v>0.0</v>
      </c>
      <c r="AA15" s="62">
        <v>12000.0</v>
      </c>
    </row>
    <row r="16" ht="22.5" customHeight="1">
      <c r="A16" s="62" t="s">
        <v>95</v>
      </c>
      <c r="B16" s="62" t="s">
        <v>1115</v>
      </c>
      <c r="C16" s="62" t="s">
        <v>1116</v>
      </c>
      <c r="D16" s="62">
        <v>2023.0</v>
      </c>
      <c r="E16" s="63">
        <v>30.7513054957</v>
      </c>
      <c r="F16" s="64" t="s">
        <v>1092</v>
      </c>
      <c r="G16" s="64" t="s">
        <v>1092</v>
      </c>
      <c r="H16" s="64" t="s">
        <v>1092</v>
      </c>
      <c r="I16" s="64" t="s">
        <v>1092</v>
      </c>
      <c r="J16" s="62">
        <v>4000.0</v>
      </c>
      <c r="K16" s="62">
        <v>3000.0</v>
      </c>
      <c r="L16" s="62">
        <v>0.0</v>
      </c>
      <c r="M16" s="62">
        <v>0.0</v>
      </c>
      <c r="N16" s="62">
        <v>0.0</v>
      </c>
      <c r="O16" s="62">
        <v>4000.0</v>
      </c>
      <c r="P16" s="62">
        <v>3000.0</v>
      </c>
      <c r="Q16" s="62">
        <v>0.0</v>
      </c>
      <c r="R16" s="62">
        <v>0.0</v>
      </c>
      <c r="S16" s="62">
        <v>2000.0</v>
      </c>
      <c r="T16" s="62">
        <v>0.0</v>
      </c>
      <c r="U16" s="62">
        <v>2000.0</v>
      </c>
      <c r="V16" s="62">
        <v>3000.0</v>
      </c>
      <c r="W16" s="62">
        <v>0.0</v>
      </c>
      <c r="X16" s="62">
        <v>0.0</v>
      </c>
      <c r="Y16" s="62">
        <v>0.0</v>
      </c>
      <c r="Z16" s="62">
        <v>0.0</v>
      </c>
      <c r="AA16" s="62">
        <v>18000.0</v>
      </c>
    </row>
    <row r="17" ht="22.5" customHeight="1">
      <c r="A17" s="62" t="s">
        <v>95</v>
      </c>
      <c r="B17" s="62" t="s">
        <v>1117</v>
      </c>
      <c r="C17" s="62" t="s">
        <v>1118</v>
      </c>
      <c r="D17" s="62">
        <v>2023.0</v>
      </c>
      <c r="E17" s="63">
        <v>20.6444992475</v>
      </c>
      <c r="F17" s="64" t="s">
        <v>1092</v>
      </c>
      <c r="G17" s="64" t="s">
        <v>1092</v>
      </c>
      <c r="H17" s="64" t="s">
        <v>1092</v>
      </c>
      <c r="I17" s="64" t="s">
        <v>1092</v>
      </c>
      <c r="J17" s="62">
        <v>0.0</v>
      </c>
      <c r="K17" s="62">
        <v>7000.0</v>
      </c>
      <c r="L17" s="62">
        <v>16000.0</v>
      </c>
      <c r="M17" s="62">
        <v>10000.0</v>
      </c>
      <c r="N17" s="62">
        <v>5000.0</v>
      </c>
      <c r="O17" s="62">
        <v>0.0</v>
      </c>
      <c r="P17" s="62">
        <v>2000.0</v>
      </c>
      <c r="Q17" s="62">
        <v>8000.0</v>
      </c>
      <c r="R17" s="62">
        <v>10000.0</v>
      </c>
      <c r="S17" s="62">
        <v>5000.0</v>
      </c>
      <c r="T17" s="62">
        <v>0.0</v>
      </c>
      <c r="U17" s="62">
        <v>3000.0</v>
      </c>
      <c r="V17" s="62">
        <v>8000.0</v>
      </c>
      <c r="W17" s="62">
        <v>12000.0</v>
      </c>
      <c r="X17" s="62">
        <v>0.0</v>
      </c>
      <c r="Y17" s="62">
        <v>0.0</v>
      </c>
      <c r="Z17" s="62">
        <v>0.0</v>
      </c>
      <c r="AA17" s="62">
        <v>10000.0</v>
      </c>
    </row>
    <row r="18" ht="22.5" customHeight="1">
      <c r="A18" s="62" t="s">
        <v>95</v>
      </c>
      <c r="B18" s="62" t="s">
        <v>1119</v>
      </c>
      <c r="C18" s="62" t="s">
        <v>1120</v>
      </c>
      <c r="D18" s="62">
        <v>2023.0</v>
      </c>
      <c r="E18" s="63">
        <v>33.5305766338</v>
      </c>
      <c r="F18" s="64" t="s">
        <v>1092</v>
      </c>
      <c r="G18" s="64" t="s">
        <v>1092</v>
      </c>
      <c r="H18" s="64" t="s">
        <v>1092</v>
      </c>
      <c r="I18" s="64" t="s">
        <v>1092</v>
      </c>
      <c r="J18" s="62">
        <v>24000.0</v>
      </c>
      <c r="K18" s="62">
        <v>0.0</v>
      </c>
      <c r="L18" s="62">
        <v>15000.0</v>
      </c>
      <c r="M18" s="62">
        <v>20000.0</v>
      </c>
      <c r="N18" s="62">
        <v>15000.0</v>
      </c>
      <c r="O18" s="62">
        <v>0.0</v>
      </c>
      <c r="P18" s="62">
        <v>6000.0</v>
      </c>
      <c r="Q18" s="62">
        <v>10000.0</v>
      </c>
      <c r="R18" s="62">
        <v>10000.0</v>
      </c>
      <c r="S18" s="62">
        <v>0.0</v>
      </c>
      <c r="T18" s="62">
        <v>0.0</v>
      </c>
      <c r="U18" s="62">
        <v>0.0</v>
      </c>
      <c r="V18" s="62">
        <v>15000.0</v>
      </c>
      <c r="W18" s="62">
        <v>15000.0</v>
      </c>
      <c r="X18" s="62">
        <v>5000.0</v>
      </c>
      <c r="Y18" s="62">
        <v>0.0</v>
      </c>
      <c r="Z18" s="62">
        <v>0.0</v>
      </c>
      <c r="AA18" s="62">
        <v>22000.0</v>
      </c>
    </row>
    <row r="19" ht="22.5" customHeight="1">
      <c r="A19" s="62" t="s">
        <v>116</v>
      </c>
      <c r="B19" s="62" t="s">
        <v>1121</v>
      </c>
      <c r="C19" s="62" t="s">
        <v>1122</v>
      </c>
      <c r="D19" s="62">
        <v>2023.0</v>
      </c>
      <c r="E19" s="63">
        <v>14.3065187754</v>
      </c>
      <c r="F19" s="64" t="s">
        <v>1092</v>
      </c>
      <c r="G19" s="64" t="s">
        <v>1092</v>
      </c>
      <c r="H19" s="64" t="s">
        <v>1092</v>
      </c>
      <c r="I19" s="64" t="s">
        <v>1092</v>
      </c>
      <c r="J19" s="62">
        <v>8000.0</v>
      </c>
      <c r="K19" s="62">
        <v>2000.0</v>
      </c>
      <c r="L19" s="62">
        <v>0.0</v>
      </c>
      <c r="M19" s="62">
        <v>8000.0</v>
      </c>
      <c r="N19" s="62">
        <v>3000.0</v>
      </c>
      <c r="O19" s="62">
        <v>2000.0</v>
      </c>
      <c r="P19" s="62">
        <v>0.0</v>
      </c>
      <c r="Q19" s="62">
        <v>0.0</v>
      </c>
      <c r="R19" s="62">
        <v>0.0</v>
      </c>
      <c r="S19" s="62">
        <v>7000.0</v>
      </c>
      <c r="T19" s="62">
        <v>4500.0</v>
      </c>
      <c r="U19" s="62">
        <v>4500.0</v>
      </c>
      <c r="V19" s="62">
        <v>1000.0</v>
      </c>
      <c r="W19" s="62">
        <v>5000.0</v>
      </c>
      <c r="X19" s="62">
        <v>0.0</v>
      </c>
      <c r="Y19" s="62">
        <v>0.0</v>
      </c>
      <c r="Z19" s="62">
        <v>0.0</v>
      </c>
      <c r="AA19" s="62">
        <v>6000.0</v>
      </c>
    </row>
    <row r="20" ht="22.5" customHeight="1">
      <c r="A20" s="62" t="s">
        <v>95</v>
      </c>
      <c r="B20" s="62" t="s">
        <v>1123</v>
      </c>
      <c r="C20" s="62" t="s">
        <v>1124</v>
      </c>
      <c r="D20" s="62">
        <v>2024.0</v>
      </c>
      <c r="E20" s="63">
        <v>21.0156820939</v>
      </c>
      <c r="F20" s="64" t="s">
        <v>1092</v>
      </c>
      <c r="G20" s="64" t="s">
        <v>1092</v>
      </c>
      <c r="H20" s="64" t="s">
        <v>1092</v>
      </c>
      <c r="I20" s="64" t="s">
        <v>1092</v>
      </c>
      <c r="J20" s="62">
        <v>15000.0</v>
      </c>
      <c r="K20" s="62">
        <v>12000.0</v>
      </c>
      <c r="L20" s="62">
        <v>15000.0</v>
      </c>
      <c r="M20" s="62">
        <v>6000.0</v>
      </c>
      <c r="N20" s="62">
        <v>0.0</v>
      </c>
      <c r="O20" s="62">
        <v>0.0</v>
      </c>
      <c r="P20" s="62">
        <v>16000.0</v>
      </c>
      <c r="Q20" s="62">
        <v>12000.0</v>
      </c>
      <c r="R20" s="62">
        <v>8000.0</v>
      </c>
      <c r="S20" s="62">
        <v>0.0</v>
      </c>
      <c r="T20" s="62">
        <v>0.0</v>
      </c>
      <c r="U20" s="62">
        <v>0.0</v>
      </c>
      <c r="V20" s="62">
        <v>6000.0</v>
      </c>
      <c r="W20" s="62">
        <v>15000.0</v>
      </c>
      <c r="X20" s="62">
        <v>0.0</v>
      </c>
      <c r="Y20" s="62">
        <v>5000.0</v>
      </c>
      <c r="Z20" s="62">
        <v>0.0</v>
      </c>
      <c r="AA20" s="62">
        <v>3000.0</v>
      </c>
    </row>
    <row r="21" ht="22.5" customHeight="1">
      <c r="A21" s="62" t="s">
        <v>95</v>
      </c>
      <c r="B21" s="62" t="s">
        <v>1125</v>
      </c>
      <c r="C21" s="62" t="s">
        <v>1126</v>
      </c>
      <c r="D21" s="62">
        <v>2024.0</v>
      </c>
      <c r="E21" s="63">
        <v>32.6661500852</v>
      </c>
      <c r="F21" s="64" t="s">
        <v>1092</v>
      </c>
      <c r="G21" s="64" t="s">
        <v>1092</v>
      </c>
      <c r="H21" s="64" t="s">
        <v>1092</v>
      </c>
      <c r="I21" s="64" t="s">
        <v>1092</v>
      </c>
      <c r="J21" s="62">
        <v>22000.0</v>
      </c>
      <c r="K21" s="62">
        <v>0.0</v>
      </c>
      <c r="L21" s="62">
        <v>25000.0</v>
      </c>
      <c r="M21" s="62">
        <v>18000.0</v>
      </c>
      <c r="N21" s="62">
        <v>18000.0</v>
      </c>
      <c r="O21" s="62">
        <v>8000.0</v>
      </c>
      <c r="P21" s="62">
        <v>0.0</v>
      </c>
      <c r="Q21" s="62">
        <v>0.0</v>
      </c>
      <c r="R21" s="62">
        <v>36000.0</v>
      </c>
      <c r="S21" s="62">
        <v>30000.0</v>
      </c>
      <c r="T21" s="62">
        <v>0.0</v>
      </c>
      <c r="U21" s="62">
        <v>0.0</v>
      </c>
      <c r="V21" s="62">
        <v>3000.0</v>
      </c>
      <c r="W21" s="62">
        <v>7500.0</v>
      </c>
      <c r="X21" s="62">
        <v>10000.0</v>
      </c>
      <c r="Y21" s="62">
        <v>6000.0</v>
      </c>
      <c r="Z21" s="62">
        <v>0.0</v>
      </c>
      <c r="AA21" s="62">
        <v>0.0</v>
      </c>
    </row>
    <row r="22" ht="22.5" customHeight="1">
      <c r="A22" s="62" t="s">
        <v>95</v>
      </c>
      <c r="B22" s="62" t="s">
        <v>1127</v>
      </c>
      <c r="C22" s="62" t="s">
        <v>1128</v>
      </c>
      <c r="D22" s="62">
        <v>2024.0</v>
      </c>
      <c r="E22" s="63">
        <v>8.50617469066</v>
      </c>
      <c r="F22" s="64" t="s">
        <v>1092</v>
      </c>
      <c r="G22" s="64" t="s">
        <v>1092</v>
      </c>
      <c r="H22" s="64" t="s">
        <v>1092</v>
      </c>
      <c r="I22" s="64" t="s">
        <v>1092</v>
      </c>
      <c r="J22" s="62">
        <v>2500.0</v>
      </c>
      <c r="K22" s="62">
        <v>0.0</v>
      </c>
      <c r="L22" s="62">
        <v>4000.0</v>
      </c>
      <c r="M22" s="62">
        <v>3000.0</v>
      </c>
      <c r="N22" s="62">
        <v>0.0</v>
      </c>
      <c r="O22" s="62">
        <v>0.0</v>
      </c>
      <c r="P22" s="62">
        <v>0.0</v>
      </c>
      <c r="Q22" s="62">
        <v>0.0</v>
      </c>
      <c r="R22" s="62">
        <v>4000.0</v>
      </c>
      <c r="S22" s="62">
        <v>3000.0</v>
      </c>
      <c r="T22" s="62">
        <v>0.0</v>
      </c>
      <c r="U22" s="62">
        <v>0.0</v>
      </c>
      <c r="V22" s="62">
        <v>2000.0</v>
      </c>
      <c r="W22" s="62">
        <v>3000.0</v>
      </c>
      <c r="X22" s="62">
        <v>3000.0</v>
      </c>
      <c r="Y22" s="62">
        <v>1000.0</v>
      </c>
      <c r="Z22" s="62">
        <v>0.0</v>
      </c>
      <c r="AA22" s="62">
        <v>0.0</v>
      </c>
    </row>
    <row r="23" ht="22.5" customHeight="1">
      <c r="A23" s="62" t="s">
        <v>95</v>
      </c>
      <c r="B23" s="62" t="s">
        <v>1129</v>
      </c>
      <c r="C23" s="62" t="s">
        <v>1130</v>
      </c>
      <c r="D23" s="62">
        <v>2025.0</v>
      </c>
      <c r="E23" s="63">
        <v>21.6827396902</v>
      </c>
      <c r="F23" s="64" t="s">
        <v>1092</v>
      </c>
      <c r="G23" s="64" t="s">
        <v>1092</v>
      </c>
      <c r="H23" s="64" t="s">
        <v>1092</v>
      </c>
      <c r="I23" s="64" t="s">
        <v>1092</v>
      </c>
      <c r="J23" s="62">
        <v>0.0</v>
      </c>
      <c r="K23" s="62">
        <v>0.0</v>
      </c>
      <c r="L23" s="62">
        <v>16000.0</v>
      </c>
      <c r="M23" s="62">
        <v>11000.0</v>
      </c>
      <c r="N23" s="62">
        <v>5000.0</v>
      </c>
      <c r="O23" s="62">
        <v>0.0</v>
      </c>
      <c r="P23" s="62">
        <v>0.0</v>
      </c>
      <c r="Q23" s="62">
        <v>0.0</v>
      </c>
      <c r="R23" s="62">
        <v>2000.0</v>
      </c>
      <c r="S23" s="62">
        <v>6000.0</v>
      </c>
      <c r="T23" s="62">
        <v>0.0</v>
      </c>
      <c r="U23" s="62">
        <v>6000.0</v>
      </c>
      <c r="V23" s="62">
        <v>0.0</v>
      </c>
      <c r="W23" s="62">
        <v>3000.0</v>
      </c>
      <c r="X23" s="62">
        <v>7000.0</v>
      </c>
      <c r="Y23" s="62">
        <v>7000.0</v>
      </c>
      <c r="Z23" s="62">
        <v>0.0</v>
      </c>
      <c r="AA23" s="62">
        <v>0.0</v>
      </c>
    </row>
    <row r="24" ht="22.5" customHeight="1">
      <c r="A24" s="62" t="s">
        <v>95</v>
      </c>
      <c r="B24" s="62" t="s">
        <v>1131</v>
      </c>
      <c r="C24" s="62" t="s">
        <v>1132</v>
      </c>
      <c r="D24" s="62">
        <v>2025.0</v>
      </c>
      <c r="E24" s="63">
        <v>27.6824254054</v>
      </c>
      <c r="F24" s="64" t="s">
        <v>1092</v>
      </c>
      <c r="G24" s="64" t="s">
        <v>1092</v>
      </c>
      <c r="H24" s="64" t="s">
        <v>1092</v>
      </c>
      <c r="I24" s="64" t="s">
        <v>1092</v>
      </c>
      <c r="J24" s="62">
        <v>0.0</v>
      </c>
      <c r="K24" s="62">
        <v>10000.0</v>
      </c>
      <c r="L24" s="62">
        <v>20000.0</v>
      </c>
      <c r="M24" s="62">
        <v>15000.0</v>
      </c>
      <c r="N24" s="62">
        <v>8000.0</v>
      </c>
      <c r="O24" s="62">
        <v>0.0</v>
      </c>
      <c r="P24" s="62">
        <v>0.0</v>
      </c>
      <c r="Q24" s="62">
        <v>0.0</v>
      </c>
      <c r="R24" s="62">
        <v>12000.0</v>
      </c>
      <c r="S24" s="62">
        <v>12000.0</v>
      </c>
      <c r="T24" s="62">
        <v>0.0</v>
      </c>
      <c r="U24" s="62">
        <v>0.0</v>
      </c>
      <c r="V24" s="62">
        <v>3000.0</v>
      </c>
      <c r="W24" s="62">
        <v>12000.0</v>
      </c>
      <c r="X24" s="62">
        <v>18000.0</v>
      </c>
      <c r="Y24" s="62">
        <v>9000.0</v>
      </c>
      <c r="Z24" s="62">
        <v>0.0</v>
      </c>
      <c r="AA24" s="62">
        <v>0.0</v>
      </c>
    </row>
    <row r="25" ht="22.5" customHeight="1">
      <c r="A25" s="62" t="s">
        <v>234</v>
      </c>
      <c r="B25" s="62" t="s">
        <v>1133</v>
      </c>
      <c r="C25" s="62" t="s">
        <v>1134</v>
      </c>
      <c r="D25" s="62">
        <v>2025.0</v>
      </c>
      <c r="E25" s="63">
        <v>53.6279968265</v>
      </c>
      <c r="F25" s="64" t="s">
        <v>1092</v>
      </c>
      <c r="G25" s="64" t="s">
        <v>1092</v>
      </c>
      <c r="H25" s="64" t="s">
        <v>1092</v>
      </c>
      <c r="I25" s="64" t="s">
        <v>1092</v>
      </c>
      <c r="J25" s="62">
        <v>10000.0</v>
      </c>
      <c r="K25" s="62">
        <v>3000.0</v>
      </c>
      <c r="L25" s="62">
        <v>0.0</v>
      </c>
      <c r="M25" s="62">
        <v>20000.0</v>
      </c>
      <c r="N25" s="62">
        <v>20000.0</v>
      </c>
      <c r="O25" s="62">
        <v>15000.0</v>
      </c>
      <c r="P25" s="62">
        <v>10000.0</v>
      </c>
      <c r="Q25" s="62">
        <v>0.0</v>
      </c>
      <c r="R25" s="62">
        <v>0.0</v>
      </c>
      <c r="S25" s="62">
        <v>8000.0</v>
      </c>
      <c r="T25" s="62">
        <v>0.0</v>
      </c>
      <c r="U25" s="62">
        <v>30000.0</v>
      </c>
      <c r="V25" s="62">
        <v>10000.0</v>
      </c>
      <c r="W25" s="62">
        <v>0.0</v>
      </c>
      <c r="X25" s="62">
        <v>20000.0</v>
      </c>
      <c r="Y25" s="62">
        <v>30000.0</v>
      </c>
      <c r="Z25" s="62">
        <v>26000.0</v>
      </c>
      <c r="AA25" s="62">
        <v>0.0</v>
      </c>
    </row>
    <row r="26" ht="22.5" customHeight="1">
      <c r="A26" s="62" t="s">
        <v>116</v>
      </c>
      <c r="B26" s="62" t="s">
        <v>1135</v>
      </c>
      <c r="C26" s="62" t="s">
        <v>1136</v>
      </c>
      <c r="D26" s="62">
        <v>2025.0</v>
      </c>
      <c r="E26" s="63">
        <v>9.37382988567</v>
      </c>
      <c r="F26" s="64" t="s">
        <v>1092</v>
      </c>
      <c r="G26" s="64" t="s">
        <v>1092</v>
      </c>
      <c r="H26" s="64" t="s">
        <v>1092</v>
      </c>
      <c r="I26" s="64" t="s">
        <v>1092</v>
      </c>
      <c r="J26" s="62">
        <v>5000.0</v>
      </c>
      <c r="K26" s="62">
        <v>2000.0</v>
      </c>
      <c r="L26" s="62">
        <v>0.0</v>
      </c>
      <c r="M26" s="62">
        <v>6000.0</v>
      </c>
      <c r="N26" s="62">
        <v>4000.0</v>
      </c>
      <c r="O26" s="62">
        <v>2000.0</v>
      </c>
      <c r="P26" s="62">
        <v>0.0</v>
      </c>
      <c r="Q26" s="62">
        <v>0.0</v>
      </c>
      <c r="R26" s="62">
        <v>4000.0</v>
      </c>
      <c r="S26" s="62">
        <v>6000.0</v>
      </c>
      <c r="T26" s="62">
        <v>1500.0</v>
      </c>
      <c r="U26" s="62">
        <v>0.0</v>
      </c>
      <c r="V26" s="62">
        <v>4000.0</v>
      </c>
      <c r="W26" s="62">
        <v>6000.0</v>
      </c>
      <c r="X26" s="62">
        <v>0.0</v>
      </c>
      <c r="Y26" s="62">
        <v>1000.0</v>
      </c>
      <c r="Z26" s="62">
        <v>0.0</v>
      </c>
      <c r="AA26" s="62">
        <v>0.0</v>
      </c>
    </row>
    <row r="27" ht="22.5" customHeight="1">
      <c r="A27" s="62" t="s">
        <v>246</v>
      </c>
      <c r="B27" s="62" t="s">
        <v>1137</v>
      </c>
      <c r="C27" s="62" t="s">
        <v>1138</v>
      </c>
      <c r="D27" s="62">
        <v>2026.0</v>
      </c>
      <c r="E27" s="63">
        <v>11.7990407647</v>
      </c>
      <c r="F27" s="64" t="s">
        <v>1092</v>
      </c>
      <c r="G27" s="64" t="s">
        <v>1092</v>
      </c>
      <c r="H27" s="64" t="s">
        <v>1092</v>
      </c>
      <c r="I27" s="64" t="s">
        <v>1092</v>
      </c>
      <c r="J27" s="62">
        <v>0.0</v>
      </c>
      <c r="K27" s="62">
        <v>0.0</v>
      </c>
      <c r="L27" s="62">
        <v>0.0</v>
      </c>
      <c r="M27" s="62">
        <v>0.0</v>
      </c>
      <c r="N27" s="62">
        <v>0.0</v>
      </c>
      <c r="O27" s="62">
        <v>0.0</v>
      </c>
      <c r="P27" s="62">
        <v>0.0</v>
      </c>
      <c r="Q27" s="62">
        <v>0.0</v>
      </c>
      <c r="R27" s="62">
        <v>0.0</v>
      </c>
      <c r="S27" s="62">
        <v>0.0</v>
      </c>
      <c r="T27" s="62">
        <v>0.0</v>
      </c>
      <c r="U27" s="62">
        <v>0.0</v>
      </c>
      <c r="V27" s="62">
        <v>3000.0</v>
      </c>
      <c r="W27" s="62">
        <v>5000.0</v>
      </c>
      <c r="X27" s="62">
        <v>6000.0</v>
      </c>
      <c r="Y27" s="62">
        <v>3000.0</v>
      </c>
      <c r="Z27" s="62">
        <v>0.0</v>
      </c>
      <c r="AA27" s="62">
        <v>0.0</v>
      </c>
    </row>
    <row r="28" ht="22.5" customHeight="1">
      <c r="A28" s="62" t="s">
        <v>246</v>
      </c>
      <c r="B28" s="62" t="s">
        <v>1139</v>
      </c>
      <c r="C28" s="62" t="s">
        <v>1140</v>
      </c>
      <c r="D28" s="62">
        <v>2026.0</v>
      </c>
      <c r="E28" s="63">
        <v>18.110612985</v>
      </c>
      <c r="F28" s="64" t="s">
        <v>1092</v>
      </c>
      <c r="G28" s="64" t="s">
        <v>1092</v>
      </c>
      <c r="H28" s="64" t="s">
        <v>1092</v>
      </c>
      <c r="I28" s="64" t="s">
        <v>1092</v>
      </c>
      <c r="J28" s="62">
        <v>0.0</v>
      </c>
      <c r="K28" s="62">
        <v>0.0</v>
      </c>
      <c r="L28" s="62">
        <v>6000.0</v>
      </c>
      <c r="M28" s="62">
        <v>4000.0</v>
      </c>
      <c r="N28" s="62">
        <v>0.0</v>
      </c>
      <c r="O28" s="62">
        <v>0.0</v>
      </c>
      <c r="P28" s="62">
        <v>0.0</v>
      </c>
      <c r="Q28" s="62">
        <v>0.0</v>
      </c>
      <c r="R28" s="62">
        <v>8000.0</v>
      </c>
      <c r="S28" s="62">
        <v>25000.0</v>
      </c>
      <c r="T28" s="62">
        <v>0.0</v>
      </c>
      <c r="U28" s="62">
        <v>10000.0</v>
      </c>
      <c r="V28" s="62">
        <v>0.0</v>
      </c>
      <c r="W28" s="62">
        <v>0.0</v>
      </c>
      <c r="X28" s="62">
        <v>0.0</v>
      </c>
      <c r="Y28" s="62">
        <v>0.0</v>
      </c>
      <c r="Z28" s="62">
        <v>0.0</v>
      </c>
      <c r="AA28" s="62">
        <v>0.0</v>
      </c>
    </row>
    <row r="29" ht="22.5" customHeight="1">
      <c r="A29" s="62" t="s">
        <v>246</v>
      </c>
      <c r="B29" s="62" t="s">
        <v>1141</v>
      </c>
      <c r="C29" s="62" t="s">
        <v>1142</v>
      </c>
      <c r="D29" s="62">
        <v>2026.0</v>
      </c>
      <c r="E29" s="63">
        <v>11.6095621633</v>
      </c>
      <c r="F29" s="64" t="s">
        <v>1092</v>
      </c>
      <c r="G29" s="64" t="s">
        <v>1092</v>
      </c>
      <c r="H29" s="64" t="s">
        <v>1092</v>
      </c>
      <c r="I29" s="64" t="s">
        <v>1092</v>
      </c>
      <c r="J29" s="62">
        <v>0.0</v>
      </c>
      <c r="K29" s="62">
        <v>1000.0</v>
      </c>
      <c r="L29" s="62">
        <v>0.0</v>
      </c>
      <c r="M29" s="62">
        <v>0.0</v>
      </c>
      <c r="N29" s="62">
        <v>0.0</v>
      </c>
      <c r="O29" s="62">
        <v>0.0</v>
      </c>
      <c r="P29" s="62">
        <v>0.0</v>
      </c>
      <c r="Q29" s="62">
        <v>0.0</v>
      </c>
      <c r="R29" s="62">
        <v>0.0</v>
      </c>
      <c r="S29" s="62">
        <v>3000.0</v>
      </c>
      <c r="T29" s="62">
        <v>0.0</v>
      </c>
      <c r="U29" s="62">
        <v>2000.0</v>
      </c>
      <c r="V29" s="62">
        <v>2000.0</v>
      </c>
      <c r="W29" s="62">
        <v>0.0</v>
      </c>
      <c r="X29" s="62">
        <v>0.0</v>
      </c>
      <c r="Y29" s="62">
        <v>0.0</v>
      </c>
      <c r="Z29" s="62">
        <v>1000.0</v>
      </c>
      <c r="AA29" s="62">
        <v>4000.0</v>
      </c>
    </row>
    <row r="30" ht="22.5" customHeight="1">
      <c r="A30" s="62" t="s">
        <v>246</v>
      </c>
      <c r="B30" s="62" t="s">
        <v>1123</v>
      </c>
      <c r="C30" s="62" t="s">
        <v>1143</v>
      </c>
      <c r="D30" s="62">
        <v>2026.0</v>
      </c>
      <c r="E30" s="63">
        <v>34.1928592778</v>
      </c>
      <c r="F30" s="64" t="s">
        <v>1092</v>
      </c>
      <c r="G30" s="64" t="s">
        <v>1092</v>
      </c>
      <c r="H30" s="64" t="s">
        <v>1092</v>
      </c>
      <c r="I30" s="64" t="s">
        <v>1092</v>
      </c>
      <c r="J30" s="62">
        <v>0.0</v>
      </c>
      <c r="K30" s="62">
        <v>0.0</v>
      </c>
      <c r="L30" s="62">
        <v>0.0</v>
      </c>
      <c r="M30" s="62">
        <v>0.0</v>
      </c>
      <c r="N30" s="62">
        <v>0.0</v>
      </c>
      <c r="O30" s="62">
        <v>0.0</v>
      </c>
      <c r="P30" s="62">
        <v>0.0</v>
      </c>
      <c r="Q30" s="62">
        <v>0.0</v>
      </c>
      <c r="R30" s="62">
        <v>0.0</v>
      </c>
      <c r="S30" s="62">
        <v>13000.0</v>
      </c>
      <c r="T30" s="62">
        <v>0.0</v>
      </c>
      <c r="U30" s="62">
        <v>10000.0</v>
      </c>
      <c r="V30" s="62">
        <v>4000.0</v>
      </c>
      <c r="W30" s="62">
        <v>0.0</v>
      </c>
      <c r="X30" s="62">
        <v>0.0</v>
      </c>
      <c r="Y30" s="62">
        <v>0.0</v>
      </c>
      <c r="Z30" s="62">
        <v>7500.0</v>
      </c>
      <c r="AA30" s="62">
        <v>10000.0</v>
      </c>
    </row>
    <row r="31" ht="22.5" customHeight="1">
      <c r="A31" s="62" t="s">
        <v>246</v>
      </c>
      <c r="B31" s="62" t="s">
        <v>1144</v>
      </c>
      <c r="C31" s="62" t="s">
        <v>1145</v>
      </c>
      <c r="D31" s="62">
        <v>2026.0</v>
      </c>
      <c r="E31" s="63">
        <v>35.3952011094</v>
      </c>
      <c r="F31" s="64" t="s">
        <v>1092</v>
      </c>
      <c r="G31" s="64" t="s">
        <v>1092</v>
      </c>
      <c r="H31" s="64" t="s">
        <v>1092</v>
      </c>
      <c r="I31" s="64" t="s">
        <v>1092</v>
      </c>
      <c r="J31" s="62">
        <v>0.0</v>
      </c>
      <c r="K31" s="62">
        <v>7000.0</v>
      </c>
      <c r="L31" s="62">
        <v>5000.0</v>
      </c>
      <c r="M31" s="62">
        <v>0.0</v>
      </c>
      <c r="N31" s="62">
        <v>0.0</v>
      </c>
      <c r="O31" s="62">
        <v>0.0</v>
      </c>
      <c r="P31" s="62">
        <v>0.0</v>
      </c>
      <c r="Q31" s="62">
        <v>0.0</v>
      </c>
      <c r="R31" s="62">
        <v>0.0</v>
      </c>
      <c r="S31" s="62">
        <v>0.0</v>
      </c>
      <c r="T31" s="62">
        <v>0.0</v>
      </c>
      <c r="U31" s="62">
        <v>7000.0</v>
      </c>
      <c r="V31" s="62">
        <v>8000.0</v>
      </c>
      <c r="W31" s="62">
        <v>5000.0</v>
      </c>
      <c r="X31" s="62">
        <v>0.0</v>
      </c>
      <c r="Y31" s="62">
        <v>0.0</v>
      </c>
      <c r="Z31" s="62">
        <v>0.0</v>
      </c>
      <c r="AA31" s="62">
        <v>0.0</v>
      </c>
    </row>
    <row r="32" ht="22.5" customHeight="1">
      <c r="A32" s="62" t="s">
        <v>95</v>
      </c>
      <c r="B32" s="62" t="s">
        <v>1146</v>
      </c>
      <c r="C32" s="62" t="s">
        <v>1147</v>
      </c>
      <c r="D32" s="62">
        <v>2026.0</v>
      </c>
      <c r="E32" s="63">
        <v>29.4711171643</v>
      </c>
      <c r="F32" s="64" t="s">
        <v>1092</v>
      </c>
      <c r="G32" s="64" t="s">
        <v>1092</v>
      </c>
      <c r="H32" s="64" t="s">
        <v>1092</v>
      </c>
      <c r="I32" s="64" t="s">
        <v>1092</v>
      </c>
      <c r="J32" s="62">
        <v>25000.0</v>
      </c>
      <c r="K32" s="62">
        <v>7000.0</v>
      </c>
      <c r="L32" s="62">
        <v>0.0</v>
      </c>
      <c r="M32" s="62">
        <v>18000.0</v>
      </c>
      <c r="N32" s="62">
        <v>14000.0</v>
      </c>
      <c r="O32" s="62">
        <v>12000.0</v>
      </c>
      <c r="P32" s="62">
        <v>0.0</v>
      </c>
      <c r="Q32" s="62">
        <v>0.0</v>
      </c>
      <c r="R32" s="62">
        <v>30000.0</v>
      </c>
      <c r="S32" s="62">
        <v>30000.0</v>
      </c>
      <c r="T32" s="62">
        <v>0.0</v>
      </c>
      <c r="U32" s="62">
        <v>0.0</v>
      </c>
      <c r="V32" s="62">
        <v>0.0</v>
      </c>
      <c r="W32" s="62">
        <v>0.0</v>
      </c>
      <c r="X32" s="62">
        <v>0.0</v>
      </c>
      <c r="Y32" s="62">
        <v>9000.0</v>
      </c>
      <c r="Z32" s="62">
        <v>15000.0</v>
      </c>
      <c r="AA32" s="62">
        <v>15000.0</v>
      </c>
    </row>
    <row r="33" ht="22.5" customHeight="1">
      <c r="A33" s="62" t="s">
        <v>234</v>
      </c>
      <c r="B33" s="62" t="s">
        <v>1135</v>
      </c>
      <c r="C33" s="62" t="s">
        <v>1148</v>
      </c>
      <c r="D33" s="62">
        <v>2026.0</v>
      </c>
      <c r="E33" s="63">
        <v>16.5529615454</v>
      </c>
      <c r="F33" s="64" t="s">
        <v>1092</v>
      </c>
      <c r="G33" s="64" t="s">
        <v>1092</v>
      </c>
      <c r="H33" s="64" t="s">
        <v>1092</v>
      </c>
      <c r="I33" s="64" t="s">
        <v>1092</v>
      </c>
      <c r="J33" s="62">
        <v>5000.0</v>
      </c>
      <c r="K33" s="62">
        <v>3000.0</v>
      </c>
      <c r="L33" s="62">
        <v>10000.0</v>
      </c>
      <c r="M33" s="62">
        <v>6000.0</v>
      </c>
      <c r="N33" s="62">
        <v>0.0</v>
      </c>
      <c r="O33" s="62">
        <v>0.0</v>
      </c>
      <c r="P33" s="62">
        <v>1500.0</v>
      </c>
      <c r="Q33" s="62">
        <v>5000.0</v>
      </c>
      <c r="R33" s="62">
        <v>5000.0</v>
      </c>
      <c r="S33" s="62">
        <v>10000.0</v>
      </c>
      <c r="T33" s="62">
        <v>0.0</v>
      </c>
      <c r="U33" s="62">
        <v>2000.0</v>
      </c>
      <c r="V33" s="62">
        <v>7000.0</v>
      </c>
      <c r="W33" s="62">
        <v>12000.0</v>
      </c>
      <c r="X33" s="62">
        <v>3000.0</v>
      </c>
      <c r="Y33" s="62">
        <v>0.0</v>
      </c>
      <c r="Z33" s="62">
        <v>0.0</v>
      </c>
      <c r="AA33" s="62">
        <v>0.0</v>
      </c>
    </row>
    <row r="34" ht="22.5" customHeight="1">
      <c r="A34" s="62" t="s">
        <v>234</v>
      </c>
      <c r="B34" s="62" t="s">
        <v>1149</v>
      </c>
      <c r="C34" s="62" t="s">
        <v>1150</v>
      </c>
      <c r="D34" s="62">
        <v>2026.0</v>
      </c>
      <c r="E34" s="63">
        <v>21.9569411482</v>
      </c>
      <c r="F34" s="64" t="s">
        <v>1092</v>
      </c>
      <c r="G34" s="64" t="s">
        <v>1092</v>
      </c>
      <c r="H34" s="64" t="s">
        <v>1092</v>
      </c>
      <c r="I34" s="64" t="s">
        <v>1092</v>
      </c>
      <c r="J34" s="62">
        <v>3000.0</v>
      </c>
      <c r="K34" s="62">
        <v>2000.0</v>
      </c>
      <c r="L34" s="62">
        <v>0.0</v>
      </c>
      <c r="M34" s="62">
        <v>0.0</v>
      </c>
      <c r="N34" s="62">
        <v>11000.0</v>
      </c>
      <c r="O34" s="62">
        <v>15000.0</v>
      </c>
      <c r="P34" s="62">
        <v>11000.0</v>
      </c>
      <c r="Q34" s="62">
        <v>5000.0</v>
      </c>
      <c r="R34" s="62">
        <v>0.0</v>
      </c>
      <c r="S34" s="62">
        <v>4000.0</v>
      </c>
      <c r="T34" s="62">
        <v>0.0</v>
      </c>
      <c r="U34" s="62">
        <v>6000.0</v>
      </c>
      <c r="V34" s="62">
        <v>4000.0</v>
      </c>
      <c r="W34" s="62">
        <v>2000.0</v>
      </c>
      <c r="X34" s="62">
        <v>10000.0</v>
      </c>
      <c r="Y34" s="62">
        <v>6000.0</v>
      </c>
      <c r="Z34" s="62">
        <v>7000.0</v>
      </c>
      <c r="AA34" s="62">
        <v>4000.0</v>
      </c>
    </row>
    <row r="35" ht="22.5" customHeight="1">
      <c r="A35" s="62" t="s">
        <v>234</v>
      </c>
      <c r="B35" s="62" t="s">
        <v>1151</v>
      </c>
      <c r="C35" s="62" t="s">
        <v>1152</v>
      </c>
      <c r="D35" s="62">
        <v>2026.0</v>
      </c>
      <c r="E35" s="63">
        <v>6.73257861682</v>
      </c>
      <c r="F35" s="64" t="s">
        <v>1092</v>
      </c>
      <c r="G35" s="64" t="s">
        <v>1092</v>
      </c>
      <c r="H35" s="64" t="s">
        <v>1092</v>
      </c>
      <c r="I35" s="64" t="s">
        <v>1092</v>
      </c>
      <c r="J35" s="62">
        <v>0.0</v>
      </c>
      <c r="K35" s="62">
        <v>0.0</v>
      </c>
      <c r="L35" s="62">
        <v>0.0</v>
      </c>
      <c r="M35" s="62">
        <v>0.0</v>
      </c>
      <c r="N35" s="62">
        <v>0.0</v>
      </c>
      <c r="O35" s="62">
        <v>3000.0</v>
      </c>
      <c r="P35" s="62">
        <v>3000.0</v>
      </c>
      <c r="Q35" s="62">
        <v>1000.0</v>
      </c>
      <c r="R35" s="62">
        <v>0.0</v>
      </c>
      <c r="S35" s="62">
        <v>0.0</v>
      </c>
      <c r="T35" s="62">
        <v>0.0</v>
      </c>
      <c r="U35" s="62">
        <v>0.0</v>
      </c>
      <c r="V35" s="62">
        <v>1000.0</v>
      </c>
      <c r="W35" s="62">
        <v>3000.0</v>
      </c>
      <c r="X35" s="62">
        <v>0.0</v>
      </c>
      <c r="Y35" s="62">
        <v>0.0</v>
      </c>
      <c r="Z35" s="62">
        <v>0.0</v>
      </c>
      <c r="AA35" s="62">
        <v>3500.0</v>
      </c>
    </row>
    <row r="36" ht="22.5" customHeight="1">
      <c r="A36" s="62" t="s">
        <v>234</v>
      </c>
      <c r="B36" s="62" t="s">
        <v>1153</v>
      </c>
      <c r="C36" s="62" t="s">
        <v>1154</v>
      </c>
      <c r="D36" s="62">
        <v>2026.0</v>
      </c>
      <c r="E36" s="63">
        <v>21.8680151198</v>
      </c>
      <c r="F36" s="64" t="s">
        <v>1092</v>
      </c>
      <c r="G36" s="64" t="s">
        <v>1092</v>
      </c>
      <c r="H36" s="64" t="s">
        <v>1092</v>
      </c>
      <c r="I36" s="64" t="s">
        <v>1092</v>
      </c>
      <c r="J36" s="62">
        <v>9000.0</v>
      </c>
      <c r="K36" s="62">
        <v>0.0</v>
      </c>
      <c r="L36" s="62">
        <v>0.0</v>
      </c>
      <c r="M36" s="62">
        <v>8000.0</v>
      </c>
      <c r="N36" s="62">
        <v>8000.0</v>
      </c>
      <c r="O36" s="62">
        <v>2000.0</v>
      </c>
      <c r="P36" s="62">
        <v>2000.0</v>
      </c>
      <c r="Q36" s="62">
        <v>5000.0</v>
      </c>
      <c r="R36" s="62">
        <v>5000.0</v>
      </c>
      <c r="S36" s="62">
        <v>5000.0</v>
      </c>
      <c r="T36" s="62">
        <v>0.0</v>
      </c>
      <c r="U36" s="62">
        <v>3000.0</v>
      </c>
      <c r="V36" s="62">
        <v>8000.0</v>
      </c>
      <c r="W36" s="62">
        <v>12000.0</v>
      </c>
      <c r="X36" s="62">
        <v>0.0</v>
      </c>
      <c r="Y36" s="62">
        <v>0.0</v>
      </c>
      <c r="Z36" s="62">
        <v>0.0</v>
      </c>
      <c r="AA36" s="62">
        <v>0.0</v>
      </c>
    </row>
    <row r="37" ht="22.5" customHeight="1">
      <c r="A37" s="62" t="s">
        <v>234</v>
      </c>
      <c r="B37" s="62" t="s">
        <v>1155</v>
      </c>
      <c r="C37" s="62" t="s">
        <v>1156</v>
      </c>
      <c r="D37" s="62">
        <v>2026.0</v>
      </c>
      <c r="E37" s="63">
        <v>18.753786413</v>
      </c>
      <c r="F37" s="64" t="s">
        <v>1092</v>
      </c>
      <c r="G37" s="64" t="s">
        <v>1092</v>
      </c>
      <c r="H37" s="64" t="s">
        <v>1092</v>
      </c>
      <c r="I37" s="64" t="s">
        <v>1092</v>
      </c>
      <c r="J37" s="62">
        <v>3000.0</v>
      </c>
      <c r="K37" s="62">
        <v>2000.0</v>
      </c>
      <c r="L37" s="62">
        <v>0.0</v>
      </c>
      <c r="M37" s="62">
        <v>0.0</v>
      </c>
      <c r="N37" s="62">
        <v>0.0</v>
      </c>
      <c r="O37" s="62">
        <v>4000.0</v>
      </c>
      <c r="P37" s="62">
        <v>10000.0</v>
      </c>
      <c r="Q37" s="62">
        <v>10000.0</v>
      </c>
      <c r="R37" s="62">
        <v>3000.0</v>
      </c>
      <c r="S37" s="62">
        <v>0.0</v>
      </c>
      <c r="T37" s="62">
        <v>0.0</v>
      </c>
      <c r="U37" s="62">
        <v>3000.0</v>
      </c>
      <c r="V37" s="62">
        <v>5000.0</v>
      </c>
      <c r="W37" s="62">
        <v>6000.0</v>
      </c>
      <c r="X37" s="62">
        <v>8000.0</v>
      </c>
      <c r="Y37" s="62">
        <v>4000.0</v>
      </c>
      <c r="Z37" s="62">
        <v>0.0</v>
      </c>
      <c r="AA37" s="62">
        <v>0.0</v>
      </c>
    </row>
    <row r="38" ht="22.5" customHeight="1">
      <c r="A38" s="62" t="s">
        <v>95</v>
      </c>
      <c r="B38" s="62" t="s">
        <v>1157</v>
      </c>
      <c r="C38" s="62" t="s">
        <v>1158</v>
      </c>
      <c r="D38" s="62">
        <v>2027.0</v>
      </c>
      <c r="E38" s="63">
        <v>27.3393036699</v>
      </c>
      <c r="F38" s="64" t="s">
        <v>1092</v>
      </c>
      <c r="G38" s="64" t="s">
        <v>1092</v>
      </c>
      <c r="H38" s="64" t="s">
        <v>1092</v>
      </c>
      <c r="I38" s="64" t="s">
        <v>1092</v>
      </c>
      <c r="J38" s="62">
        <v>12000.0</v>
      </c>
      <c r="K38" s="62">
        <v>4000.0</v>
      </c>
      <c r="L38" s="62">
        <v>0.0</v>
      </c>
      <c r="M38" s="62">
        <v>0.0</v>
      </c>
      <c r="N38" s="62">
        <v>15000.0</v>
      </c>
      <c r="O38" s="62">
        <v>15000.0</v>
      </c>
      <c r="P38" s="62">
        <v>4000.0</v>
      </c>
      <c r="Q38" s="62">
        <v>0.0</v>
      </c>
      <c r="R38" s="62">
        <v>0.0</v>
      </c>
      <c r="S38" s="62">
        <v>0.0</v>
      </c>
      <c r="T38" s="62">
        <v>0.0</v>
      </c>
      <c r="U38" s="62">
        <v>10000.0</v>
      </c>
      <c r="V38" s="62">
        <v>7000.0</v>
      </c>
      <c r="W38" s="62">
        <v>9000.0</v>
      </c>
      <c r="X38" s="62">
        <v>0.0</v>
      </c>
      <c r="Y38" s="62">
        <v>0.0</v>
      </c>
      <c r="Z38" s="62">
        <v>10000.0</v>
      </c>
      <c r="AA38" s="62">
        <v>10000.0</v>
      </c>
    </row>
    <row r="39" ht="22.5" customHeight="1">
      <c r="A39" s="62" t="s">
        <v>234</v>
      </c>
      <c r="B39" s="62" t="s">
        <v>1159</v>
      </c>
      <c r="C39" s="62" t="s">
        <v>1160</v>
      </c>
      <c r="D39" s="62">
        <v>2027.0</v>
      </c>
      <c r="E39" s="63">
        <v>66.6681395928</v>
      </c>
      <c r="F39" s="64" t="s">
        <v>1092</v>
      </c>
      <c r="G39" s="64" t="s">
        <v>1092</v>
      </c>
      <c r="H39" s="64" t="s">
        <v>1092</v>
      </c>
      <c r="I39" s="64" t="s">
        <v>1092</v>
      </c>
      <c r="J39" s="62">
        <v>0.0</v>
      </c>
      <c r="K39" s="62">
        <v>0.0</v>
      </c>
      <c r="L39" s="62">
        <v>0.0</v>
      </c>
      <c r="M39" s="62">
        <v>0.0</v>
      </c>
      <c r="N39" s="62">
        <v>0.0</v>
      </c>
      <c r="O39" s="62">
        <v>10000.0</v>
      </c>
      <c r="P39" s="62">
        <v>15000.0</v>
      </c>
      <c r="Q39" s="62">
        <v>8000.0</v>
      </c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10000.0</v>
      </c>
      <c r="X39" s="62">
        <v>20000.0</v>
      </c>
      <c r="Y39" s="62">
        <v>15000.0</v>
      </c>
      <c r="Z39" s="62">
        <v>12000.0</v>
      </c>
      <c r="AA39" s="62">
        <v>0.0</v>
      </c>
    </row>
    <row r="40" ht="22.5" customHeight="1">
      <c r="A40" s="62" t="s">
        <v>246</v>
      </c>
      <c r="B40" s="62" t="s">
        <v>1161</v>
      </c>
      <c r="C40" s="62" t="s">
        <v>1162</v>
      </c>
      <c r="D40" s="62" t="s">
        <v>1163</v>
      </c>
      <c r="E40" s="63">
        <v>15.9623321182</v>
      </c>
      <c r="F40" s="64" t="s">
        <v>1092</v>
      </c>
      <c r="G40" s="64" t="s">
        <v>1092</v>
      </c>
      <c r="H40" s="64" t="s">
        <v>1092</v>
      </c>
      <c r="I40" s="64" t="s">
        <v>1092</v>
      </c>
      <c r="J40" s="62">
        <v>0.0</v>
      </c>
      <c r="K40" s="62">
        <v>0.0</v>
      </c>
      <c r="L40" s="62">
        <v>0.0</v>
      </c>
      <c r="M40" s="62">
        <v>0.0</v>
      </c>
      <c r="N40" s="62">
        <v>0.0</v>
      </c>
      <c r="O40" s="62">
        <v>0.0</v>
      </c>
      <c r="P40" s="62">
        <v>0.0</v>
      </c>
      <c r="Q40" s="62">
        <v>0.0</v>
      </c>
      <c r="R40" s="62">
        <v>0.0</v>
      </c>
      <c r="S40" s="62">
        <v>1000.0</v>
      </c>
      <c r="T40" s="62">
        <v>0.0</v>
      </c>
      <c r="U40" s="62">
        <v>2000.0</v>
      </c>
      <c r="V40" s="62">
        <v>0.0</v>
      </c>
      <c r="W40" s="62">
        <v>0.0</v>
      </c>
      <c r="X40" s="62">
        <v>0.0</v>
      </c>
      <c r="Y40" s="62">
        <v>0.0</v>
      </c>
      <c r="Z40" s="62">
        <v>0.0</v>
      </c>
      <c r="AA40" s="62">
        <v>0.0</v>
      </c>
    </row>
    <row r="41" ht="22.5" customHeight="1">
      <c r="A41" s="62" t="s">
        <v>246</v>
      </c>
      <c r="B41" s="62" t="s">
        <v>1164</v>
      </c>
      <c r="C41" s="62" t="s">
        <v>1165</v>
      </c>
      <c r="D41" s="62" t="s">
        <v>1163</v>
      </c>
      <c r="E41" s="63">
        <v>15.4976133198</v>
      </c>
      <c r="F41" s="64" t="s">
        <v>1092</v>
      </c>
      <c r="G41" s="64" t="s">
        <v>1092</v>
      </c>
      <c r="H41" s="64" t="s">
        <v>1092</v>
      </c>
      <c r="I41" s="64" t="s">
        <v>1092</v>
      </c>
      <c r="J41" s="62">
        <v>0.0</v>
      </c>
      <c r="K41" s="62">
        <v>6000.0</v>
      </c>
      <c r="L41" s="62">
        <v>5000.0</v>
      </c>
      <c r="M41" s="62">
        <v>0.0</v>
      </c>
      <c r="N41" s="62">
        <v>0.0</v>
      </c>
      <c r="O41" s="62">
        <v>0.0</v>
      </c>
      <c r="P41" s="62">
        <v>0.0</v>
      </c>
      <c r="Q41" s="62">
        <v>0.0</v>
      </c>
      <c r="R41" s="62">
        <v>0.0</v>
      </c>
      <c r="S41" s="62">
        <v>8000.0</v>
      </c>
      <c r="T41" s="62">
        <v>0.0</v>
      </c>
      <c r="U41" s="62">
        <v>0.0</v>
      </c>
      <c r="V41" s="62">
        <v>0.0</v>
      </c>
      <c r="W41" s="62">
        <v>0.0</v>
      </c>
      <c r="X41" s="62">
        <v>0.0</v>
      </c>
      <c r="Y41" s="62">
        <v>0.0</v>
      </c>
      <c r="Z41" s="62">
        <v>0.0</v>
      </c>
      <c r="AA41" s="62">
        <v>0.0</v>
      </c>
    </row>
    <row r="42" ht="22.5" customHeight="1">
      <c r="A42" s="62" t="s">
        <v>246</v>
      </c>
      <c r="B42" s="62" t="s">
        <v>1166</v>
      </c>
      <c r="C42" s="62" t="s">
        <v>1167</v>
      </c>
      <c r="D42" s="62" t="s">
        <v>1163</v>
      </c>
      <c r="E42" s="63">
        <v>27.4170248389</v>
      </c>
      <c r="F42" s="64" t="s">
        <v>1092</v>
      </c>
      <c r="G42" s="64" t="s">
        <v>1092</v>
      </c>
      <c r="H42" s="64" t="s">
        <v>1092</v>
      </c>
      <c r="I42" s="64" t="s">
        <v>1092</v>
      </c>
      <c r="J42" s="62">
        <v>0.0</v>
      </c>
      <c r="K42" s="62">
        <v>0.0</v>
      </c>
      <c r="L42" s="62">
        <v>0.0</v>
      </c>
      <c r="M42" s="62">
        <v>0.0</v>
      </c>
      <c r="N42" s="62">
        <v>0.0</v>
      </c>
      <c r="O42" s="62">
        <v>0.0</v>
      </c>
      <c r="P42" s="62">
        <v>0.0</v>
      </c>
      <c r="Q42" s="62">
        <v>0.0</v>
      </c>
      <c r="R42" s="62">
        <v>0.0</v>
      </c>
      <c r="S42" s="62">
        <v>2000.0</v>
      </c>
      <c r="T42" s="62">
        <v>0.0</v>
      </c>
      <c r="U42" s="62">
        <v>0.0</v>
      </c>
      <c r="V42" s="62">
        <v>0.0</v>
      </c>
      <c r="W42" s="62">
        <v>0.0</v>
      </c>
      <c r="X42" s="62">
        <v>0.0</v>
      </c>
      <c r="Y42" s="62">
        <v>0.0</v>
      </c>
      <c r="Z42" s="62">
        <v>0.0</v>
      </c>
      <c r="AA42" s="62">
        <v>0.0</v>
      </c>
    </row>
    <row r="43" ht="22.5" customHeight="1">
      <c r="A43" s="62" t="s">
        <v>95</v>
      </c>
      <c r="B43" s="62" t="s">
        <v>1168</v>
      </c>
      <c r="C43" s="62" t="s">
        <v>1169</v>
      </c>
      <c r="D43" s="62" t="s">
        <v>1163</v>
      </c>
      <c r="E43" s="63">
        <v>8.73790091166</v>
      </c>
      <c r="F43" s="64" t="s">
        <v>1092</v>
      </c>
      <c r="G43" s="64" t="s">
        <v>1092</v>
      </c>
      <c r="H43" s="64" t="s">
        <v>1092</v>
      </c>
      <c r="I43" s="64" t="s">
        <v>1092</v>
      </c>
      <c r="J43" s="62">
        <v>0.0</v>
      </c>
      <c r="K43" s="62">
        <v>0.0</v>
      </c>
      <c r="L43" s="62">
        <v>0.0</v>
      </c>
      <c r="M43" s="62">
        <v>0.0</v>
      </c>
      <c r="N43" s="62">
        <v>0.0</v>
      </c>
      <c r="O43" s="62">
        <v>0.0</v>
      </c>
      <c r="P43" s="62">
        <v>0.0</v>
      </c>
      <c r="Q43" s="62">
        <v>0.0</v>
      </c>
      <c r="R43" s="62">
        <v>0.0</v>
      </c>
      <c r="S43" s="62">
        <v>0.0</v>
      </c>
      <c r="T43" s="62">
        <v>0.0</v>
      </c>
      <c r="U43" s="62">
        <v>1000.0</v>
      </c>
      <c r="V43" s="62">
        <v>0.0</v>
      </c>
      <c r="W43" s="62">
        <v>0.0</v>
      </c>
      <c r="X43" s="62">
        <v>0.0</v>
      </c>
      <c r="Y43" s="62">
        <v>0.0</v>
      </c>
      <c r="Z43" s="62">
        <v>0.0</v>
      </c>
      <c r="AA43" s="62">
        <v>0.0</v>
      </c>
    </row>
    <row r="44" ht="22.5" customHeight="1">
      <c r="A44" s="62" t="s">
        <v>234</v>
      </c>
      <c r="B44" s="62" t="s">
        <v>1170</v>
      </c>
      <c r="C44" s="62" t="s">
        <v>1171</v>
      </c>
      <c r="D44" s="62" t="s">
        <v>1163</v>
      </c>
      <c r="E44" s="63">
        <v>10.9539335449</v>
      </c>
      <c r="F44" s="64" t="s">
        <v>1092</v>
      </c>
      <c r="G44" s="64" t="s">
        <v>1092</v>
      </c>
      <c r="H44" s="64" t="s">
        <v>1092</v>
      </c>
      <c r="I44" s="64" t="s">
        <v>1092</v>
      </c>
      <c r="J44" s="62">
        <v>1500.0</v>
      </c>
      <c r="K44" s="62">
        <v>0.0</v>
      </c>
      <c r="L44" s="62">
        <v>0.0</v>
      </c>
      <c r="M44" s="62">
        <v>0.0</v>
      </c>
      <c r="N44" s="62">
        <v>0.0</v>
      </c>
      <c r="O44" s="62">
        <v>2500.0</v>
      </c>
      <c r="P44" s="62">
        <v>2000.0</v>
      </c>
      <c r="Q44" s="62">
        <v>0.0</v>
      </c>
      <c r="R44" s="62">
        <v>0.0</v>
      </c>
      <c r="S44" s="62">
        <v>0.0</v>
      </c>
      <c r="T44" s="62">
        <v>0.0</v>
      </c>
      <c r="U44" s="62">
        <v>0.0</v>
      </c>
      <c r="V44" s="62">
        <v>0.0</v>
      </c>
      <c r="W44" s="62">
        <v>0.0</v>
      </c>
      <c r="X44" s="62">
        <v>0.0</v>
      </c>
      <c r="Y44" s="62">
        <v>0.0</v>
      </c>
      <c r="Z44" s="62">
        <v>0.0</v>
      </c>
      <c r="AA44" s="62">
        <v>0.0</v>
      </c>
    </row>
    <row r="45" ht="22.5" customHeight="1">
      <c r="A45" s="62" t="s">
        <v>234</v>
      </c>
      <c r="B45" s="62" t="s">
        <v>1172</v>
      </c>
      <c r="C45" s="62" t="s">
        <v>1173</v>
      </c>
      <c r="D45" s="62" t="s">
        <v>1163</v>
      </c>
      <c r="E45" s="63">
        <v>14.3042001117</v>
      </c>
      <c r="F45" s="64" t="s">
        <v>1092</v>
      </c>
      <c r="G45" s="64" t="s">
        <v>1092</v>
      </c>
      <c r="H45" s="64" t="s">
        <v>1092</v>
      </c>
      <c r="I45" s="64" t="s">
        <v>1092</v>
      </c>
      <c r="J45" s="62">
        <v>0.0</v>
      </c>
      <c r="K45" s="62">
        <v>0.0</v>
      </c>
      <c r="L45" s="62">
        <v>0.0</v>
      </c>
      <c r="M45" s="62">
        <v>0.0</v>
      </c>
      <c r="N45" s="62">
        <v>0.0</v>
      </c>
      <c r="O45" s="62">
        <v>6000.0</v>
      </c>
      <c r="P45" s="62">
        <v>4000.0</v>
      </c>
      <c r="Q45" s="62">
        <v>3000.0</v>
      </c>
      <c r="R45" s="62">
        <v>1500.0</v>
      </c>
      <c r="S45" s="62">
        <v>0.0</v>
      </c>
      <c r="T45" s="62">
        <v>0.0</v>
      </c>
      <c r="U45" s="62">
        <v>2000.0</v>
      </c>
      <c r="V45" s="62">
        <v>2000.0</v>
      </c>
      <c r="W45" s="62">
        <v>4000.0</v>
      </c>
      <c r="X45" s="62">
        <v>0.0</v>
      </c>
      <c r="Y45" s="62">
        <v>0.0</v>
      </c>
      <c r="Z45" s="62">
        <v>0.0</v>
      </c>
      <c r="AA45" s="62">
        <v>0.0</v>
      </c>
    </row>
    <row r="46" ht="22.5" customHeight="1">
      <c r="A46" s="62" t="s">
        <v>234</v>
      </c>
      <c r="B46" s="62" t="s">
        <v>1174</v>
      </c>
      <c r="C46" s="62" t="s">
        <v>1175</v>
      </c>
      <c r="D46" s="62" t="s">
        <v>1163</v>
      </c>
      <c r="E46" s="63">
        <v>4.64954341293</v>
      </c>
      <c r="F46" s="64" t="s">
        <v>1092</v>
      </c>
      <c r="G46" s="64" t="s">
        <v>1092</v>
      </c>
      <c r="H46" s="64" t="s">
        <v>1092</v>
      </c>
      <c r="I46" s="64" t="s">
        <v>1092</v>
      </c>
      <c r="J46" s="62">
        <v>0.0</v>
      </c>
      <c r="K46" s="62">
        <v>0.0</v>
      </c>
      <c r="L46" s="62">
        <v>0.0</v>
      </c>
      <c r="M46" s="62">
        <v>0.0</v>
      </c>
      <c r="N46" s="62">
        <v>0.0</v>
      </c>
      <c r="O46" s="62">
        <v>2000.0</v>
      </c>
      <c r="P46" s="62">
        <v>0.0</v>
      </c>
      <c r="Q46" s="62">
        <v>0.0</v>
      </c>
      <c r="R46" s="62">
        <v>0.0</v>
      </c>
      <c r="S46" s="62">
        <v>0.0</v>
      </c>
      <c r="T46" s="62">
        <v>0.0</v>
      </c>
      <c r="U46" s="62">
        <v>0.0</v>
      </c>
      <c r="V46" s="62">
        <v>0.0</v>
      </c>
      <c r="W46" s="62">
        <v>0.0</v>
      </c>
      <c r="X46" s="62">
        <v>0.0</v>
      </c>
      <c r="Y46" s="62">
        <v>0.0</v>
      </c>
      <c r="Z46" s="62">
        <v>0.0</v>
      </c>
      <c r="AA46" s="62">
        <v>0.0</v>
      </c>
    </row>
    <row r="47" ht="22.5" customHeight="1">
      <c r="A47" s="62" t="s">
        <v>234</v>
      </c>
      <c r="B47" s="62" t="s">
        <v>1176</v>
      </c>
      <c r="C47" s="62" t="s">
        <v>1177</v>
      </c>
      <c r="D47" s="62" t="s">
        <v>1163</v>
      </c>
      <c r="E47" s="63">
        <v>7.61309912288</v>
      </c>
      <c r="F47" s="64" t="s">
        <v>1092</v>
      </c>
      <c r="G47" s="64" t="s">
        <v>1092</v>
      </c>
      <c r="H47" s="64" t="s">
        <v>1092</v>
      </c>
      <c r="I47" s="64" t="s">
        <v>1092</v>
      </c>
      <c r="J47" s="62">
        <v>0.0</v>
      </c>
      <c r="K47" s="62">
        <v>0.0</v>
      </c>
      <c r="L47" s="62">
        <v>0.0</v>
      </c>
      <c r="M47" s="62">
        <v>0.0</v>
      </c>
      <c r="N47" s="62">
        <v>0.0</v>
      </c>
      <c r="O47" s="62">
        <v>1500.0</v>
      </c>
      <c r="P47" s="62">
        <v>10000.0</v>
      </c>
      <c r="Q47" s="62">
        <v>3000.0</v>
      </c>
      <c r="R47" s="62">
        <v>0.0</v>
      </c>
      <c r="S47" s="62">
        <v>3000.0</v>
      </c>
      <c r="T47" s="62">
        <v>1000.0</v>
      </c>
      <c r="U47" s="62">
        <v>1500.0</v>
      </c>
      <c r="V47" s="62">
        <v>0.0</v>
      </c>
      <c r="W47" s="62">
        <v>0.0</v>
      </c>
      <c r="X47" s="62">
        <v>0.0</v>
      </c>
      <c r="Y47" s="62">
        <v>0.0</v>
      </c>
      <c r="Z47" s="62">
        <v>0.0</v>
      </c>
      <c r="AA47" s="62">
        <v>0.0</v>
      </c>
    </row>
    <row r="48" ht="22.5" customHeight="1">
      <c r="A48" s="62" t="s">
        <v>234</v>
      </c>
      <c r="B48" s="62" t="s">
        <v>1178</v>
      </c>
      <c r="C48" s="62" t="s">
        <v>1179</v>
      </c>
      <c r="D48" s="62" t="s">
        <v>1163</v>
      </c>
      <c r="E48" s="63">
        <v>1.22864749961</v>
      </c>
      <c r="F48" s="64" t="s">
        <v>1092</v>
      </c>
      <c r="G48" s="64" t="s">
        <v>1092</v>
      </c>
      <c r="H48" s="64" t="s">
        <v>1092</v>
      </c>
      <c r="I48" s="64" t="s">
        <v>1092</v>
      </c>
      <c r="J48" s="62">
        <v>0.0</v>
      </c>
      <c r="K48" s="62">
        <v>0.0</v>
      </c>
      <c r="L48" s="62">
        <v>0.0</v>
      </c>
      <c r="M48" s="62">
        <v>0.0</v>
      </c>
      <c r="N48" s="62">
        <v>0.0</v>
      </c>
      <c r="O48" s="62">
        <v>1500.0</v>
      </c>
      <c r="P48" s="62">
        <v>10000.0</v>
      </c>
      <c r="Q48" s="62">
        <v>3000.0</v>
      </c>
      <c r="R48" s="62">
        <v>0.0</v>
      </c>
      <c r="S48" s="62">
        <v>1000.0</v>
      </c>
      <c r="T48" s="62">
        <v>500.0</v>
      </c>
      <c r="U48" s="62">
        <v>200.0</v>
      </c>
      <c r="V48" s="62">
        <v>0.0</v>
      </c>
      <c r="W48" s="62">
        <v>0.0</v>
      </c>
      <c r="X48" s="62">
        <v>0.0</v>
      </c>
      <c r="Y48" s="62">
        <v>0.0</v>
      </c>
      <c r="Z48" s="62">
        <v>0.0</v>
      </c>
      <c r="AA48" s="62">
        <v>0.0</v>
      </c>
    </row>
    <row r="49" ht="22.5" customHeight="1">
      <c r="A49" s="62" t="s">
        <v>234</v>
      </c>
      <c r="B49" s="62" t="s">
        <v>1180</v>
      </c>
      <c r="C49" s="62" t="s">
        <v>1181</v>
      </c>
      <c r="D49" s="62" t="s">
        <v>1163</v>
      </c>
      <c r="E49" s="63">
        <v>0.793302735532</v>
      </c>
      <c r="F49" s="64" t="s">
        <v>1092</v>
      </c>
      <c r="G49" s="64" t="s">
        <v>1092</v>
      </c>
      <c r="H49" s="64" t="s">
        <v>1092</v>
      </c>
      <c r="I49" s="64" t="s">
        <v>1092</v>
      </c>
      <c r="J49" s="62">
        <v>0.0</v>
      </c>
      <c r="K49" s="62">
        <v>0.0</v>
      </c>
      <c r="L49" s="62">
        <v>0.0</v>
      </c>
      <c r="M49" s="62">
        <v>0.0</v>
      </c>
      <c r="N49" s="62">
        <v>0.0</v>
      </c>
      <c r="O49" s="62">
        <v>1500.0</v>
      </c>
      <c r="P49" s="62">
        <v>10000.0</v>
      </c>
      <c r="Q49" s="62">
        <v>3000.0</v>
      </c>
      <c r="R49" s="62">
        <v>0.0</v>
      </c>
      <c r="S49" s="62">
        <v>1000.0</v>
      </c>
      <c r="T49" s="62">
        <v>500.0</v>
      </c>
      <c r="U49" s="62">
        <v>500.0</v>
      </c>
      <c r="V49" s="62">
        <v>0.0</v>
      </c>
      <c r="W49" s="62">
        <v>0.0</v>
      </c>
      <c r="X49" s="62">
        <v>0.0</v>
      </c>
      <c r="Y49" s="62">
        <v>0.0</v>
      </c>
      <c r="Z49" s="62">
        <v>0.0</v>
      </c>
      <c r="AA49" s="62">
        <v>0.0</v>
      </c>
    </row>
    <row r="50" ht="22.5" customHeight="1">
      <c r="A50" s="62" t="s">
        <v>234</v>
      </c>
      <c r="B50" s="62" t="s">
        <v>1182</v>
      </c>
      <c r="C50" s="62" t="s">
        <v>1183</v>
      </c>
      <c r="D50" s="62" t="s">
        <v>1163</v>
      </c>
      <c r="E50" s="63">
        <v>8.17206825874</v>
      </c>
      <c r="F50" s="64" t="s">
        <v>1092</v>
      </c>
      <c r="G50" s="64" t="s">
        <v>1092</v>
      </c>
      <c r="H50" s="64" t="s">
        <v>1092</v>
      </c>
      <c r="I50" s="64" t="s">
        <v>1092</v>
      </c>
      <c r="J50" s="62">
        <v>0.0</v>
      </c>
      <c r="K50" s="62">
        <v>0.0</v>
      </c>
      <c r="L50" s="62">
        <v>0.0</v>
      </c>
      <c r="M50" s="62">
        <v>0.0</v>
      </c>
      <c r="N50" s="62">
        <v>0.0</v>
      </c>
      <c r="O50" s="62">
        <v>1500.0</v>
      </c>
      <c r="P50" s="62">
        <v>10000.0</v>
      </c>
      <c r="Q50" s="62">
        <v>3000.0</v>
      </c>
      <c r="R50" s="62">
        <v>0.0</v>
      </c>
      <c r="S50" s="62">
        <v>3000.0</v>
      </c>
      <c r="T50" s="62">
        <v>1000.0</v>
      </c>
      <c r="U50" s="62">
        <v>1000.0</v>
      </c>
      <c r="V50" s="62">
        <v>0.0</v>
      </c>
      <c r="W50" s="62">
        <v>0.0</v>
      </c>
      <c r="X50" s="62">
        <v>0.0</v>
      </c>
      <c r="Y50" s="62">
        <v>0.0</v>
      </c>
      <c r="Z50" s="62">
        <v>0.0</v>
      </c>
      <c r="AA50" s="62">
        <v>0.0</v>
      </c>
    </row>
    <row r="51" ht="22.5" customHeight="1">
      <c r="A51" s="62" t="s">
        <v>234</v>
      </c>
      <c r="B51" s="62" t="s">
        <v>1184</v>
      </c>
      <c r="C51" s="62" t="s">
        <v>1185</v>
      </c>
      <c r="D51" s="62" t="s">
        <v>1163</v>
      </c>
      <c r="E51" s="63">
        <v>3.28589956444</v>
      </c>
      <c r="F51" s="64" t="s">
        <v>1092</v>
      </c>
      <c r="G51" s="64" t="s">
        <v>1092</v>
      </c>
      <c r="H51" s="64" t="s">
        <v>1092</v>
      </c>
      <c r="I51" s="64" t="s">
        <v>1092</v>
      </c>
      <c r="J51" s="62">
        <v>0.0</v>
      </c>
      <c r="K51" s="62">
        <v>0.0</v>
      </c>
      <c r="L51" s="62">
        <v>0.0</v>
      </c>
      <c r="M51" s="62">
        <v>0.0</v>
      </c>
      <c r="N51" s="62">
        <v>0.0</v>
      </c>
      <c r="O51" s="62">
        <v>1500.0</v>
      </c>
      <c r="P51" s="62">
        <v>10000.0</v>
      </c>
      <c r="Q51" s="62">
        <v>3000.0</v>
      </c>
      <c r="R51" s="62">
        <v>0.0</v>
      </c>
      <c r="S51" s="62">
        <v>0.0</v>
      </c>
      <c r="T51" s="62">
        <v>1000.0</v>
      </c>
      <c r="U51" s="62">
        <v>2000.0</v>
      </c>
      <c r="V51" s="62">
        <v>0.0</v>
      </c>
      <c r="W51" s="62">
        <v>0.0</v>
      </c>
      <c r="X51" s="62">
        <v>0.0</v>
      </c>
      <c r="Y51" s="62">
        <v>0.0</v>
      </c>
      <c r="Z51" s="62">
        <v>0.0</v>
      </c>
      <c r="AA51" s="62">
        <v>0.0</v>
      </c>
    </row>
    <row r="52" ht="22.5" customHeight="1">
      <c r="A52" s="62" t="s">
        <v>234</v>
      </c>
      <c r="B52" s="62" t="s">
        <v>1186</v>
      </c>
      <c r="C52" s="62" t="s">
        <v>1187</v>
      </c>
      <c r="D52" s="62" t="s">
        <v>1163</v>
      </c>
      <c r="E52" s="63">
        <v>4.25885600318</v>
      </c>
      <c r="F52" s="64" t="s">
        <v>1092</v>
      </c>
      <c r="G52" s="64" t="s">
        <v>1092</v>
      </c>
      <c r="H52" s="64" t="s">
        <v>1092</v>
      </c>
      <c r="I52" s="64" t="s">
        <v>1092</v>
      </c>
      <c r="J52" s="62">
        <v>0.0</v>
      </c>
      <c r="K52" s="62">
        <v>0.0</v>
      </c>
      <c r="L52" s="62">
        <v>0.0</v>
      </c>
      <c r="M52" s="62">
        <v>0.0</v>
      </c>
      <c r="N52" s="62">
        <v>0.0</v>
      </c>
      <c r="O52" s="62">
        <v>1500.0</v>
      </c>
      <c r="P52" s="62">
        <v>10000.0</v>
      </c>
      <c r="Q52" s="62">
        <v>3000.0</v>
      </c>
      <c r="R52" s="62">
        <v>0.0</v>
      </c>
      <c r="S52" s="62">
        <v>0.0</v>
      </c>
      <c r="T52" s="62">
        <v>1000.0</v>
      </c>
      <c r="U52" s="62">
        <v>0.0</v>
      </c>
      <c r="V52" s="62">
        <v>0.0</v>
      </c>
      <c r="W52" s="62">
        <v>0.0</v>
      </c>
      <c r="X52" s="62">
        <v>0.0</v>
      </c>
      <c r="Y52" s="62">
        <v>0.0</v>
      </c>
      <c r="Z52" s="62">
        <v>0.0</v>
      </c>
      <c r="AA52" s="62">
        <v>0.0</v>
      </c>
    </row>
    <row r="53" ht="22.5" customHeight="1">
      <c r="A53" s="62" t="s">
        <v>116</v>
      </c>
      <c r="B53" s="62" t="s">
        <v>1188</v>
      </c>
      <c r="C53" s="62" t="s">
        <v>1189</v>
      </c>
      <c r="D53" s="62" t="s">
        <v>1163</v>
      </c>
      <c r="E53" s="63">
        <v>14.2735043351</v>
      </c>
      <c r="F53" s="64" t="s">
        <v>1092</v>
      </c>
      <c r="G53" s="64" t="s">
        <v>1092</v>
      </c>
      <c r="H53" s="64" t="s">
        <v>1092</v>
      </c>
      <c r="I53" s="64" t="s">
        <v>1092</v>
      </c>
      <c r="J53" s="62">
        <v>5000.0</v>
      </c>
      <c r="K53" s="62">
        <v>2000.0</v>
      </c>
      <c r="L53" s="62">
        <v>0.0</v>
      </c>
      <c r="M53" s="62">
        <v>0.0</v>
      </c>
      <c r="N53" s="62">
        <v>0.0</v>
      </c>
      <c r="O53" s="62">
        <v>0.0</v>
      </c>
      <c r="P53" s="62">
        <v>0.0</v>
      </c>
      <c r="Q53" s="62">
        <v>0.0</v>
      </c>
      <c r="R53" s="62">
        <v>4000.0</v>
      </c>
      <c r="S53" s="62">
        <v>8000.0</v>
      </c>
      <c r="T53" s="62">
        <v>3000.0</v>
      </c>
      <c r="U53" s="62">
        <v>2000.0</v>
      </c>
      <c r="V53" s="62">
        <v>1000.0</v>
      </c>
      <c r="W53" s="62">
        <v>2500.0</v>
      </c>
      <c r="X53" s="62">
        <v>0.0</v>
      </c>
      <c r="Y53" s="62">
        <v>0.0</v>
      </c>
      <c r="Z53" s="62">
        <v>0.0</v>
      </c>
      <c r="AA53" s="62">
        <v>0.0</v>
      </c>
    </row>
    <row r="54" ht="22.5" customHeight="1">
      <c r="A54" s="62" t="s">
        <v>116</v>
      </c>
      <c r="B54" s="62" t="s">
        <v>1190</v>
      </c>
      <c r="C54" s="62" t="s">
        <v>1191</v>
      </c>
      <c r="D54" s="62" t="s">
        <v>1163</v>
      </c>
      <c r="E54" s="63">
        <v>2.23781443696</v>
      </c>
      <c r="F54" s="64" t="s">
        <v>1092</v>
      </c>
      <c r="G54" s="64" t="s">
        <v>1092</v>
      </c>
      <c r="H54" s="64" t="s">
        <v>1092</v>
      </c>
      <c r="I54" s="64" t="s">
        <v>1092</v>
      </c>
      <c r="J54" s="62">
        <v>0.0</v>
      </c>
      <c r="K54" s="62">
        <v>0.0</v>
      </c>
      <c r="L54" s="62">
        <v>0.0</v>
      </c>
      <c r="M54" s="62">
        <v>0.0</v>
      </c>
      <c r="N54" s="62">
        <v>0.0</v>
      </c>
      <c r="O54" s="62">
        <v>0.0</v>
      </c>
      <c r="P54" s="62">
        <v>0.0</v>
      </c>
      <c r="Q54" s="62">
        <v>0.0</v>
      </c>
      <c r="R54" s="62">
        <v>0.0</v>
      </c>
      <c r="S54" s="62">
        <v>0.0</v>
      </c>
      <c r="T54" s="62">
        <v>0.0</v>
      </c>
      <c r="U54" s="62">
        <v>0.0</v>
      </c>
      <c r="V54" s="62">
        <v>0.0</v>
      </c>
      <c r="W54" s="62">
        <v>0.0</v>
      </c>
      <c r="X54" s="62">
        <v>0.0</v>
      </c>
      <c r="Y54" s="62">
        <v>0.0</v>
      </c>
      <c r="Z54" s="62">
        <v>0.0</v>
      </c>
      <c r="AA54" s="62">
        <v>0.0</v>
      </c>
    </row>
    <row r="55" ht="22.5" customHeight="1">
      <c r="A55" s="62" t="s">
        <v>116</v>
      </c>
      <c r="B55" s="62" t="s">
        <v>1192</v>
      </c>
      <c r="C55" s="62" t="s">
        <v>1193</v>
      </c>
      <c r="D55" s="62" t="s">
        <v>1163</v>
      </c>
      <c r="E55" s="63">
        <v>5.94360357263</v>
      </c>
      <c r="F55" s="64" t="s">
        <v>1092</v>
      </c>
      <c r="G55" s="64" t="s">
        <v>1092</v>
      </c>
      <c r="H55" s="64" t="s">
        <v>1092</v>
      </c>
      <c r="I55" s="64" t="s">
        <v>1092</v>
      </c>
      <c r="J55" s="62">
        <v>5000.0</v>
      </c>
      <c r="K55" s="62">
        <v>2000.0</v>
      </c>
      <c r="L55" s="62">
        <v>0.0</v>
      </c>
      <c r="M55" s="62">
        <v>0.0</v>
      </c>
      <c r="N55" s="62">
        <v>0.0</v>
      </c>
      <c r="O55" s="62">
        <v>0.0</v>
      </c>
      <c r="P55" s="62">
        <v>0.0</v>
      </c>
      <c r="Q55" s="62">
        <v>0.0</v>
      </c>
      <c r="R55" s="62">
        <v>0.0</v>
      </c>
      <c r="S55" s="62">
        <v>0.0</v>
      </c>
      <c r="T55" s="62">
        <v>3000.0</v>
      </c>
      <c r="U55" s="62">
        <v>4500.0</v>
      </c>
      <c r="V55" s="62">
        <v>3000.0</v>
      </c>
      <c r="W55" s="62">
        <v>2500.0</v>
      </c>
      <c r="X55" s="62">
        <v>0.0</v>
      </c>
      <c r="Y55" s="62">
        <v>0.0</v>
      </c>
      <c r="Z55" s="62">
        <v>0.0</v>
      </c>
      <c r="AA55" s="62">
        <v>0.0</v>
      </c>
    </row>
    <row r="56" ht="22.5" customHeight="1">
      <c r="A56" s="62" t="s">
        <v>116</v>
      </c>
      <c r="B56" s="62" t="s">
        <v>1194</v>
      </c>
      <c r="C56" s="62" t="s">
        <v>1195</v>
      </c>
      <c r="D56" s="62" t="s">
        <v>1163</v>
      </c>
      <c r="E56" s="63">
        <v>3.03126572495</v>
      </c>
      <c r="F56" s="64" t="s">
        <v>1092</v>
      </c>
      <c r="G56" s="64" t="s">
        <v>1092</v>
      </c>
      <c r="H56" s="64" t="s">
        <v>1092</v>
      </c>
      <c r="I56" s="64" t="s">
        <v>1092</v>
      </c>
      <c r="J56" s="62">
        <v>5000.0</v>
      </c>
      <c r="K56" s="62">
        <v>2000.0</v>
      </c>
      <c r="L56" s="62">
        <v>0.0</v>
      </c>
      <c r="M56" s="62">
        <v>0.0</v>
      </c>
      <c r="N56" s="62">
        <v>0.0</v>
      </c>
      <c r="O56" s="62">
        <v>0.0</v>
      </c>
      <c r="P56" s="62">
        <v>0.0</v>
      </c>
      <c r="Q56" s="62">
        <v>0.0</v>
      </c>
      <c r="R56" s="62">
        <v>0.0</v>
      </c>
      <c r="S56" s="62">
        <v>0.0</v>
      </c>
      <c r="T56" s="62">
        <v>0.0</v>
      </c>
      <c r="U56" s="62">
        <v>0.0</v>
      </c>
      <c r="V56" s="62">
        <v>0.0</v>
      </c>
      <c r="W56" s="62">
        <v>0.0</v>
      </c>
      <c r="X56" s="62">
        <v>0.0</v>
      </c>
      <c r="Y56" s="62">
        <v>0.0</v>
      </c>
      <c r="Z56" s="62">
        <v>0.0</v>
      </c>
      <c r="AA56" s="62">
        <v>0.0</v>
      </c>
    </row>
    <row r="57" ht="22.5" customHeight="1">
      <c r="A57" s="65"/>
      <c r="B57" s="65"/>
      <c r="C57" s="65"/>
      <c r="D57" s="66">
        <f>SUM(Johan_Brand_Skatting_en_Werklik[GEPLANT])</f>
        <v>72868</v>
      </c>
      <c r="E57" s="67">
        <f>SUM(Johan_Brand_Skatting_en_Werklik[HEKTAAR])</f>
        <v>1049.350267</v>
      </c>
      <c r="F57" s="65"/>
      <c r="G57" s="65"/>
      <c r="H57" s="65"/>
      <c r="I57" s="68">
        <f>SUM(Johan_Brand_Skatting_en_Werklik[2007_WERKLIK])</f>
        <v>0</v>
      </c>
      <c r="J57" s="66">
        <f>SUM(Johan_Brand_Skatting_en_Werklik[2008_WERKLIK])</f>
        <v>213000</v>
      </c>
      <c r="K57" s="66">
        <f>SUM(Johan_Brand_Skatting_en_Werklik[2009_WERKLIK])</f>
        <v>118000</v>
      </c>
      <c r="L57" s="66">
        <f>SUM(Johan_Brand_Skatting_en_Werklik[2010_WERKLIK])</f>
        <v>172000</v>
      </c>
      <c r="M57" s="66">
        <f>SUM(Johan_Brand_Skatting_en_Werklik[2011_WERKLIK])</f>
        <v>196000</v>
      </c>
      <c r="N57" s="66">
        <f>SUM(Johan_Brand_Skatting_en_Werklik[2012_WERKLIK])</f>
        <v>151000</v>
      </c>
      <c r="O57" s="66">
        <f>SUM(Johan_Brand_Skatting_en_Werklik[2013_WERKLIK])</f>
        <v>133500</v>
      </c>
      <c r="P57" s="66">
        <f>SUM(Johan_Brand_Skatting_en_Werklik[2014_WERKLIK])</f>
        <v>191500</v>
      </c>
      <c r="Q57" s="66">
        <f>SUM(Johan_Brand_Skatting_en_Werklik[2015_WERKLIK])</f>
        <v>124000</v>
      </c>
      <c r="R57" s="66">
        <f>SUM(Johan_Brand_Skatting_en_Werklik[2016_WERKLIK])</f>
        <v>203000</v>
      </c>
      <c r="S57" s="66">
        <f>SUM(Johan_Brand_Skatting_en_Werklik[2017_WERKLIK])</f>
        <v>321500</v>
      </c>
      <c r="T57" s="66">
        <f>SUM(Johan_Brand_Skatting_en_Werklik[2018_WERKLIK])</f>
        <v>17000</v>
      </c>
      <c r="U57" s="66">
        <f>SUM(Johan_Brand_Skatting_en_Werklik[2019_WERKLIK])</f>
        <v>194200</v>
      </c>
      <c r="V57" s="66">
        <f>SUM(Johan_Brand_Skatting_en_Werklik[2020_WERKLIK])</f>
        <v>158000</v>
      </c>
      <c r="W57" s="66">
        <f>SUM(Johan_Brand_Skatting_en_Werklik[2021_WERKLIK])</f>
        <v>193500</v>
      </c>
      <c r="X57" s="66">
        <f>SUM(Johan_Brand_Skatting_en_Werklik[2022_WERKLIK])</f>
        <v>110000</v>
      </c>
      <c r="Y57" s="66">
        <f>SUM(Johan_Brand_Skatting_en_Werklik[2023_WERKLIK])</f>
        <v>112000</v>
      </c>
      <c r="Z57" s="66">
        <f>SUM(Johan_Brand_Skatting_en_Werklik[2024_WERKLIK])</f>
        <v>190000</v>
      </c>
      <c r="AA57" s="66">
        <f>SUM(Johan_Brand_Skatting_en_Werklik[25_WERKLIK])</f>
        <v>244500</v>
      </c>
    </row>
    <row r="58">
      <c r="A58" s="57"/>
      <c r="B58" s="57"/>
      <c r="C58" s="57"/>
      <c r="D58" s="57"/>
      <c r="E58" s="58"/>
      <c r="I58" s="5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 ht="22.5" customHeight="1">
      <c r="A59" s="60" t="s">
        <v>1063</v>
      </c>
      <c r="B59" s="60" t="s">
        <v>1064</v>
      </c>
      <c r="C59" s="60" t="s">
        <v>1065</v>
      </c>
      <c r="D59" s="60" t="s">
        <v>1066</v>
      </c>
      <c r="E59" s="61" t="s">
        <v>1067</v>
      </c>
      <c r="F59" s="60" t="s">
        <v>1068</v>
      </c>
      <c r="G59" s="60" t="s">
        <v>1069</v>
      </c>
      <c r="H59" s="60" t="s">
        <v>1070</v>
      </c>
      <c r="I59" s="60" t="s">
        <v>1071</v>
      </c>
      <c r="J59" s="60" t="s">
        <v>1072</v>
      </c>
      <c r="K59" s="60" t="s">
        <v>1073</v>
      </c>
      <c r="L59" s="60" t="s">
        <v>1074</v>
      </c>
      <c r="M59" s="60" t="s">
        <v>1075</v>
      </c>
      <c r="N59" s="60" t="s">
        <v>1076</v>
      </c>
      <c r="O59" s="60" t="s">
        <v>1077</v>
      </c>
      <c r="P59" s="60" t="s">
        <v>1078</v>
      </c>
      <c r="Q59" s="60" t="s">
        <v>1079</v>
      </c>
      <c r="R59" s="60" t="s">
        <v>1080</v>
      </c>
      <c r="S59" s="60" t="s">
        <v>1081</v>
      </c>
      <c r="T59" s="60" t="s">
        <v>1082</v>
      </c>
      <c r="U59" s="60" t="s">
        <v>1083</v>
      </c>
      <c r="V59" s="60" t="s">
        <v>1084</v>
      </c>
      <c r="W59" s="60" t="s">
        <v>1085</v>
      </c>
      <c r="X59" s="60" t="s">
        <v>1086</v>
      </c>
      <c r="Y59" s="60" t="s">
        <v>1087</v>
      </c>
      <c r="Z59" s="60" t="s">
        <v>1088</v>
      </c>
      <c r="AA59" s="60" t="s">
        <v>1089</v>
      </c>
    </row>
    <row r="60" ht="22.5" customHeight="1">
      <c r="A60" s="62" t="s">
        <v>246</v>
      </c>
      <c r="B60" s="62" t="s">
        <v>1139</v>
      </c>
      <c r="C60" s="62" t="s">
        <v>1140</v>
      </c>
      <c r="D60" s="62">
        <v>2026.0</v>
      </c>
      <c r="E60" s="63">
        <v>18.110612985</v>
      </c>
      <c r="F60" s="64" t="s">
        <v>1092</v>
      </c>
      <c r="G60" s="64" t="s">
        <v>1092</v>
      </c>
      <c r="H60" s="64" t="s">
        <v>1092</v>
      </c>
      <c r="I60" s="64" t="s">
        <v>1092</v>
      </c>
      <c r="J60" s="62">
        <v>0.0</v>
      </c>
      <c r="K60" s="62">
        <v>0.0</v>
      </c>
      <c r="L60" s="62">
        <v>331.2974555289466</v>
      </c>
      <c r="M60" s="62">
        <v>220.86497035263105</v>
      </c>
      <c r="N60" s="62">
        <v>0.0</v>
      </c>
      <c r="O60" s="62">
        <v>0.0</v>
      </c>
      <c r="P60" s="62">
        <v>0.0</v>
      </c>
      <c r="Q60" s="62">
        <v>0.0</v>
      </c>
      <c r="R60" s="62">
        <v>441.7299407052621</v>
      </c>
      <c r="S60" s="62">
        <v>1380.4060647039441</v>
      </c>
      <c r="T60" s="62">
        <v>0.0</v>
      </c>
      <c r="U60" s="62">
        <v>552.1624258815776</v>
      </c>
      <c r="V60" s="62">
        <v>0.0</v>
      </c>
      <c r="W60" s="62">
        <v>0.0</v>
      </c>
      <c r="X60" s="62">
        <v>0.0</v>
      </c>
      <c r="Y60" s="62">
        <v>0.0</v>
      </c>
      <c r="Z60" s="62">
        <v>0.0</v>
      </c>
      <c r="AA60" s="62">
        <v>0.0</v>
      </c>
    </row>
    <row r="61" ht="22.5" customHeight="1">
      <c r="A61" s="62" t="s">
        <v>246</v>
      </c>
      <c r="B61" s="62" t="s">
        <v>1095</v>
      </c>
      <c r="C61" s="62" t="s">
        <v>1096</v>
      </c>
      <c r="D61" s="62">
        <v>2022.0</v>
      </c>
      <c r="E61" s="63">
        <v>21.1987533783</v>
      </c>
      <c r="F61" s="64" t="s">
        <v>1092</v>
      </c>
      <c r="G61" s="64" t="s">
        <v>1092</v>
      </c>
      <c r="H61" s="64" t="s">
        <v>1092</v>
      </c>
      <c r="I61" s="64" t="s">
        <v>1092</v>
      </c>
      <c r="J61" s="62">
        <v>0.0</v>
      </c>
      <c r="K61" s="62">
        <v>0.0</v>
      </c>
      <c r="L61" s="62">
        <v>0.0</v>
      </c>
      <c r="M61" s="62">
        <v>377.38068164843884</v>
      </c>
      <c r="N61" s="62">
        <v>0.0</v>
      </c>
      <c r="O61" s="62">
        <v>0.0</v>
      </c>
      <c r="P61" s="62">
        <v>0.0</v>
      </c>
      <c r="Q61" s="62">
        <v>0.0</v>
      </c>
      <c r="R61" s="62">
        <v>0.0</v>
      </c>
      <c r="S61" s="62">
        <v>754.7613632968777</v>
      </c>
      <c r="T61" s="62">
        <v>0.0</v>
      </c>
      <c r="U61" s="62">
        <v>566.0710224726582</v>
      </c>
      <c r="V61" s="62">
        <v>235.86292603027428</v>
      </c>
      <c r="W61" s="62">
        <v>0.0</v>
      </c>
      <c r="X61" s="62">
        <v>0.0</v>
      </c>
      <c r="Y61" s="62">
        <v>0.0</v>
      </c>
      <c r="Z61" s="62">
        <v>283.0355112363291</v>
      </c>
      <c r="AA61" s="62">
        <v>235.86292603027428</v>
      </c>
    </row>
    <row r="62" ht="22.5" customHeight="1">
      <c r="A62" s="62" t="s">
        <v>246</v>
      </c>
      <c r="B62" s="62" t="s">
        <v>1141</v>
      </c>
      <c r="C62" s="62" t="s">
        <v>1142</v>
      </c>
      <c r="D62" s="62">
        <v>2026.0</v>
      </c>
      <c r="E62" s="63">
        <v>11.6095621633</v>
      </c>
      <c r="F62" s="64" t="s">
        <v>1092</v>
      </c>
      <c r="G62" s="64" t="s">
        <v>1092</v>
      </c>
      <c r="H62" s="64" t="s">
        <v>1092</v>
      </c>
      <c r="I62" s="64" t="s">
        <v>1092</v>
      </c>
      <c r="J62" s="62">
        <v>0.0</v>
      </c>
      <c r="K62" s="62">
        <v>86.13589263178135</v>
      </c>
      <c r="L62" s="62">
        <v>0.0</v>
      </c>
      <c r="M62" s="62">
        <v>0.0</v>
      </c>
      <c r="N62" s="62">
        <v>0.0</v>
      </c>
      <c r="O62" s="62">
        <v>0.0</v>
      </c>
      <c r="P62" s="62">
        <v>0.0</v>
      </c>
      <c r="Q62" s="62">
        <v>0.0</v>
      </c>
      <c r="R62" s="62">
        <v>0.0</v>
      </c>
      <c r="S62" s="62">
        <v>258.4076778953441</v>
      </c>
      <c r="T62" s="62">
        <v>0.0</v>
      </c>
      <c r="U62" s="62">
        <v>172.2717852635627</v>
      </c>
      <c r="V62" s="62">
        <v>172.2717852635627</v>
      </c>
      <c r="W62" s="62">
        <v>0.0</v>
      </c>
      <c r="X62" s="62">
        <v>0.0</v>
      </c>
      <c r="Y62" s="62">
        <v>0.0</v>
      </c>
      <c r="Z62" s="62">
        <v>86.13589263178135</v>
      </c>
      <c r="AA62" s="62">
        <v>344.5435705271254</v>
      </c>
    </row>
    <row r="63" ht="22.5" customHeight="1">
      <c r="A63" s="62" t="s">
        <v>95</v>
      </c>
      <c r="B63" s="62" t="s">
        <v>1146</v>
      </c>
      <c r="C63" s="62" t="s">
        <v>1147</v>
      </c>
      <c r="D63" s="62">
        <v>2026.0</v>
      </c>
      <c r="E63" s="63">
        <v>29.4711171643</v>
      </c>
      <c r="F63" s="64" t="s">
        <v>1092</v>
      </c>
      <c r="G63" s="64" t="s">
        <v>1092</v>
      </c>
      <c r="H63" s="64" t="s">
        <v>1092</v>
      </c>
      <c r="I63" s="64" t="s">
        <v>1092</v>
      </c>
      <c r="J63" s="62">
        <v>848.2881683998015</v>
      </c>
      <c r="K63" s="62">
        <v>237.52068715194443</v>
      </c>
      <c r="L63" s="62">
        <v>0.0</v>
      </c>
      <c r="M63" s="62">
        <v>610.7674812478571</v>
      </c>
      <c r="N63" s="62">
        <v>475.04137430388886</v>
      </c>
      <c r="O63" s="62">
        <v>407.1783208319047</v>
      </c>
      <c r="P63" s="62">
        <v>0.0</v>
      </c>
      <c r="Q63" s="62">
        <v>0.0</v>
      </c>
      <c r="R63" s="62">
        <v>1017.9458020797618</v>
      </c>
      <c r="S63" s="62">
        <v>1017.9458020797618</v>
      </c>
      <c r="T63" s="62">
        <v>0.0</v>
      </c>
      <c r="U63" s="62">
        <v>0.0</v>
      </c>
      <c r="V63" s="62">
        <v>0.0</v>
      </c>
      <c r="W63" s="62">
        <v>0.0</v>
      </c>
      <c r="X63" s="62">
        <v>0.0</v>
      </c>
      <c r="Y63" s="62">
        <v>305.38374062392853</v>
      </c>
      <c r="Z63" s="62">
        <v>508.9729010398809</v>
      </c>
      <c r="AA63" s="62">
        <v>508.9729010398809</v>
      </c>
    </row>
    <row r="64" ht="22.5" customHeight="1">
      <c r="A64" s="62" t="s">
        <v>95</v>
      </c>
      <c r="B64" s="62" t="s">
        <v>1099</v>
      </c>
      <c r="C64" s="62" t="s">
        <v>1100</v>
      </c>
      <c r="D64" s="62">
        <v>2022.0</v>
      </c>
      <c r="E64" s="63">
        <v>41.9793488172</v>
      </c>
      <c r="F64" s="64" t="s">
        <v>1092</v>
      </c>
      <c r="G64" s="64" t="s">
        <v>1092</v>
      </c>
      <c r="H64" s="64" t="s">
        <v>1092</v>
      </c>
      <c r="I64" s="64" t="s">
        <v>1092</v>
      </c>
      <c r="J64" s="62">
        <v>357.3185488254673</v>
      </c>
      <c r="K64" s="62">
        <v>476.4247317672897</v>
      </c>
      <c r="L64" s="62">
        <v>595.5309147091122</v>
      </c>
      <c r="M64" s="62">
        <v>238.21236588364485</v>
      </c>
      <c r="N64" s="62">
        <v>119.10618294182242</v>
      </c>
      <c r="O64" s="62">
        <v>0.0</v>
      </c>
      <c r="P64" s="62">
        <v>214.39112929528036</v>
      </c>
      <c r="Q64" s="62">
        <v>357.3185488254673</v>
      </c>
      <c r="R64" s="62">
        <v>714.6370976509346</v>
      </c>
      <c r="S64" s="62">
        <v>476.4247317672897</v>
      </c>
      <c r="T64" s="62">
        <v>0.0</v>
      </c>
      <c r="U64" s="62">
        <v>119.10618294182242</v>
      </c>
      <c r="V64" s="62">
        <v>71.46370976509345</v>
      </c>
      <c r="W64" s="62">
        <v>0.0</v>
      </c>
      <c r="X64" s="62">
        <v>0.0</v>
      </c>
      <c r="Y64" s="62">
        <v>0.0</v>
      </c>
      <c r="Z64" s="62">
        <v>381.13978541383176</v>
      </c>
      <c r="AA64" s="62">
        <v>714.6370976509346</v>
      </c>
    </row>
    <row r="65" ht="22.5" customHeight="1">
      <c r="A65" s="62" t="s">
        <v>234</v>
      </c>
      <c r="B65" s="62" t="s">
        <v>1135</v>
      </c>
      <c r="C65" s="62" t="s">
        <v>1148</v>
      </c>
      <c r="D65" s="62">
        <v>2026.0</v>
      </c>
      <c r="E65" s="63">
        <v>16.5529615454</v>
      </c>
      <c r="F65" s="64" t="s">
        <v>1092</v>
      </c>
      <c r="G65" s="64" t="s">
        <v>1092</v>
      </c>
      <c r="H65" s="64" t="s">
        <v>1092</v>
      </c>
      <c r="I65" s="64" t="s">
        <v>1092</v>
      </c>
      <c r="J65" s="62">
        <v>302.0607512611228</v>
      </c>
      <c r="K65" s="62">
        <v>181.2364507566737</v>
      </c>
      <c r="L65" s="62">
        <v>604.1215025222456</v>
      </c>
      <c r="M65" s="62">
        <v>362.4729015133474</v>
      </c>
      <c r="N65" s="62">
        <v>0.0</v>
      </c>
      <c r="O65" s="62">
        <v>0.0</v>
      </c>
      <c r="P65" s="62">
        <v>90.61822537833685</v>
      </c>
      <c r="Q65" s="62">
        <v>302.0607512611228</v>
      </c>
      <c r="R65" s="62">
        <v>302.0607512611228</v>
      </c>
      <c r="S65" s="62">
        <v>604.1215025222456</v>
      </c>
      <c r="T65" s="62">
        <v>0.0</v>
      </c>
      <c r="U65" s="62">
        <v>120.82430050444913</v>
      </c>
      <c r="V65" s="62">
        <v>422.8850517655719</v>
      </c>
      <c r="W65" s="62">
        <v>724.9458030266948</v>
      </c>
      <c r="X65" s="62">
        <v>181.2364507566737</v>
      </c>
      <c r="Y65" s="62">
        <v>0.0</v>
      </c>
      <c r="Z65" s="62">
        <v>0.0</v>
      </c>
      <c r="AA65" s="62">
        <v>0.0</v>
      </c>
    </row>
    <row r="66" ht="22.5" customHeight="1">
      <c r="A66" s="62" t="s">
        <v>234</v>
      </c>
      <c r="B66" s="62" t="s">
        <v>1109</v>
      </c>
      <c r="C66" s="62" t="s">
        <v>1110</v>
      </c>
      <c r="D66" s="62">
        <v>2022.0</v>
      </c>
      <c r="E66" s="63">
        <v>23.0283132751</v>
      </c>
      <c r="F66" s="64" t="s">
        <v>1092</v>
      </c>
      <c r="G66" s="64" t="s">
        <v>1092</v>
      </c>
      <c r="H66" s="64" t="s">
        <v>1092</v>
      </c>
      <c r="I66" s="64" t="s">
        <v>1092</v>
      </c>
      <c r="J66" s="62">
        <v>390.8232397433771</v>
      </c>
      <c r="K66" s="62">
        <v>0.0</v>
      </c>
      <c r="L66" s="62">
        <v>0.0</v>
      </c>
      <c r="M66" s="62">
        <v>0.0</v>
      </c>
      <c r="N66" s="62">
        <v>0.0</v>
      </c>
      <c r="O66" s="62">
        <v>0.0</v>
      </c>
      <c r="P66" s="62">
        <v>0.0</v>
      </c>
      <c r="Q66" s="62">
        <v>0.0</v>
      </c>
      <c r="R66" s="62">
        <v>0.0</v>
      </c>
      <c r="S66" s="62">
        <v>173.69921766372315</v>
      </c>
      <c r="T66" s="62">
        <v>0.0</v>
      </c>
      <c r="U66" s="62">
        <v>347.3984353274463</v>
      </c>
      <c r="V66" s="62">
        <v>303.9736309115155</v>
      </c>
      <c r="W66" s="62">
        <v>303.9736309115155</v>
      </c>
      <c r="X66" s="62">
        <v>0.0</v>
      </c>
      <c r="Y66" s="62">
        <v>0.0</v>
      </c>
      <c r="Z66" s="62">
        <v>521.0976529911694</v>
      </c>
      <c r="AA66" s="62">
        <v>434.2480441593078</v>
      </c>
    </row>
    <row r="67" ht="22.5" customHeight="1">
      <c r="A67" s="62" t="s">
        <v>234</v>
      </c>
      <c r="B67" s="62" t="s">
        <v>1133</v>
      </c>
      <c r="C67" s="62" t="s">
        <v>1134</v>
      </c>
      <c r="D67" s="62">
        <v>2025.0</v>
      </c>
      <c r="E67" s="63">
        <v>53.6279968265</v>
      </c>
      <c r="F67" s="64" t="s">
        <v>1092</v>
      </c>
      <c r="G67" s="64" t="s">
        <v>1092</v>
      </c>
      <c r="H67" s="64" t="s">
        <v>1092</v>
      </c>
      <c r="I67" s="64" t="s">
        <v>1092</v>
      </c>
      <c r="J67" s="62">
        <v>186.46976564037072</v>
      </c>
      <c r="K67" s="62">
        <v>55.94092969211122</v>
      </c>
      <c r="L67" s="62">
        <v>0.0</v>
      </c>
      <c r="M67" s="62">
        <v>372.93953128074145</v>
      </c>
      <c r="N67" s="62">
        <v>372.93953128074145</v>
      </c>
      <c r="O67" s="62">
        <v>279.7046484605561</v>
      </c>
      <c r="P67" s="62">
        <v>186.46976564037072</v>
      </c>
      <c r="Q67" s="62">
        <v>0.0</v>
      </c>
      <c r="R67" s="62">
        <v>0.0</v>
      </c>
      <c r="S67" s="62">
        <v>149.17581251229657</v>
      </c>
      <c r="T67" s="62">
        <v>0.0</v>
      </c>
      <c r="U67" s="62">
        <v>559.4092969211122</v>
      </c>
      <c r="V67" s="62">
        <v>186.46976564037072</v>
      </c>
      <c r="W67" s="62">
        <v>0.0</v>
      </c>
      <c r="X67" s="62">
        <v>372.93953128074145</v>
      </c>
      <c r="Y67" s="62">
        <v>559.4092969211122</v>
      </c>
      <c r="Z67" s="62">
        <v>484.8213906649639</v>
      </c>
      <c r="AA67" s="62">
        <v>0.0</v>
      </c>
    </row>
    <row r="68" ht="22.5" customHeight="1">
      <c r="A68" s="62" t="s">
        <v>234</v>
      </c>
      <c r="B68" s="62" t="s">
        <v>1107</v>
      </c>
      <c r="C68" s="62" t="s">
        <v>1108</v>
      </c>
      <c r="D68" s="62">
        <v>2022.0</v>
      </c>
      <c r="E68" s="63">
        <v>52.1536105648</v>
      </c>
      <c r="F68" s="64" t="s">
        <v>1092</v>
      </c>
      <c r="G68" s="64" t="s">
        <v>1092</v>
      </c>
      <c r="H68" s="64" t="s">
        <v>1092</v>
      </c>
      <c r="I68" s="64" t="s">
        <v>1092</v>
      </c>
      <c r="J68" s="62">
        <v>95.87063955596291</v>
      </c>
      <c r="K68" s="62">
        <v>0.0</v>
      </c>
      <c r="L68" s="62">
        <v>0.0</v>
      </c>
      <c r="M68" s="62">
        <v>479.3531977798146</v>
      </c>
      <c r="N68" s="62">
        <v>383.48255822385164</v>
      </c>
      <c r="O68" s="62">
        <v>287.61191866788874</v>
      </c>
      <c r="P68" s="62">
        <v>191.74127911192582</v>
      </c>
      <c r="Q68" s="62">
        <v>0.0</v>
      </c>
      <c r="R68" s="62">
        <v>0.0</v>
      </c>
      <c r="S68" s="62">
        <v>402.65668613504425</v>
      </c>
      <c r="T68" s="62">
        <v>0.0</v>
      </c>
      <c r="U68" s="62">
        <v>115.0447674671555</v>
      </c>
      <c r="V68" s="62">
        <v>38.34825582238516</v>
      </c>
      <c r="W68" s="62">
        <v>153.39302328954065</v>
      </c>
      <c r="X68" s="62">
        <v>0.0</v>
      </c>
      <c r="Y68" s="62">
        <v>0.0</v>
      </c>
      <c r="Z68" s="62">
        <v>594.3979652469701</v>
      </c>
      <c r="AA68" s="62">
        <v>594.3979652469701</v>
      </c>
    </row>
    <row r="69" ht="22.5" customHeight="1">
      <c r="A69" s="62" t="s">
        <v>234</v>
      </c>
      <c r="B69" s="62" t="s">
        <v>1151</v>
      </c>
      <c r="C69" s="62" t="s">
        <v>1152</v>
      </c>
      <c r="D69" s="62">
        <v>2026.0</v>
      </c>
      <c r="E69" s="63">
        <v>6.73257861682</v>
      </c>
      <c r="F69" s="64" t="s">
        <v>1092</v>
      </c>
      <c r="G69" s="64" t="s">
        <v>1092</v>
      </c>
      <c r="H69" s="64" t="s">
        <v>1092</v>
      </c>
      <c r="I69" s="64" t="s">
        <v>1092</v>
      </c>
      <c r="J69" s="62">
        <v>0.0</v>
      </c>
      <c r="K69" s="62">
        <v>0.0</v>
      </c>
      <c r="L69" s="62">
        <v>0.0</v>
      </c>
      <c r="M69" s="62">
        <v>0.0</v>
      </c>
      <c r="N69" s="62">
        <v>0.0</v>
      </c>
      <c r="O69" s="62">
        <v>445.59449963274113</v>
      </c>
      <c r="P69" s="62">
        <v>445.59449963274113</v>
      </c>
      <c r="Q69" s="62">
        <v>148.53149987758036</v>
      </c>
      <c r="R69" s="62">
        <v>0.0</v>
      </c>
      <c r="S69" s="62">
        <v>0.0</v>
      </c>
      <c r="T69" s="62">
        <v>0.0</v>
      </c>
      <c r="U69" s="62">
        <v>0.0</v>
      </c>
      <c r="V69" s="62">
        <v>148.53149987758036</v>
      </c>
      <c r="W69" s="62">
        <v>445.59449963274113</v>
      </c>
      <c r="X69" s="62">
        <v>0.0</v>
      </c>
      <c r="Y69" s="62">
        <v>0.0</v>
      </c>
      <c r="Z69" s="62">
        <v>0.0</v>
      </c>
      <c r="AA69" s="62">
        <v>519.8602495715313</v>
      </c>
    </row>
    <row r="70" ht="22.5" customHeight="1">
      <c r="A70" s="62" t="s">
        <v>234</v>
      </c>
      <c r="B70" s="62" t="s">
        <v>1149</v>
      </c>
      <c r="C70" s="62" t="s">
        <v>1150</v>
      </c>
      <c r="D70" s="62">
        <v>2026.0</v>
      </c>
      <c r="E70" s="63">
        <v>21.9569411482</v>
      </c>
      <c r="F70" s="64" t="s">
        <v>1092</v>
      </c>
      <c r="G70" s="64" t="s">
        <v>1092</v>
      </c>
      <c r="H70" s="64" t="s">
        <v>1092</v>
      </c>
      <c r="I70" s="64" t="s">
        <v>1092</v>
      </c>
      <c r="J70" s="62">
        <v>136.63105346738774</v>
      </c>
      <c r="K70" s="62">
        <v>91.0873689782585</v>
      </c>
      <c r="L70" s="62">
        <v>0.0</v>
      </c>
      <c r="M70" s="62">
        <v>0.0</v>
      </c>
      <c r="N70" s="62">
        <v>500.98052938042173</v>
      </c>
      <c r="O70" s="62">
        <v>683.1552673369387</v>
      </c>
      <c r="P70" s="62">
        <v>500.98052938042173</v>
      </c>
      <c r="Q70" s="62">
        <v>227.71842244564624</v>
      </c>
      <c r="R70" s="62">
        <v>0.0</v>
      </c>
      <c r="S70" s="62">
        <v>182.174737956517</v>
      </c>
      <c r="T70" s="62">
        <v>0.0</v>
      </c>
      <c r="U70" s="62">
        <v>273.2621069347755</v>
      </c>
      <c r="V70" s="62">
        <v>182.174737956517</v>
      </c>
      <c r="W70" s="62">
        <v>91.0873689782585</v>
      </c>
      <c r="X70" s="62">
        <v>455.4368448912925</v>
      </c>
      <c r="Y70" s="62">
        <v>273.2621069347755</v>
      </c>
      <c r="Z70" s="62">
        <v>318.80579142390474</v>
      </c>
      <c r="AA70" s="62">
        <v>182.174737956517</v>
      </c>
    </row>
    <row r="71" ht="22.5" customHeight="1">
      <c r="A71" s="62" t="s">
        <v>234</v>
      </c>
      <c r="B71" s="62" t="s">
        <v>1172</v>
      </c>
      <c r="C71" s="62" t="s">
        <v>1173</v>
      </c>
      <c r="D71" s="62" t="s">
        <v>1163</v>
      </c>
      <c r="E71" s="63">
        <v>14.3042001117</v>
      </c>
      <c r="F71" s="64" t="s">
        <v>1092</v>
      </c>
      <c r="G71" s="64" t="s">
        <v>1092</v>
      </c>
      <c r="H71" s="64" t="s">
        <v>1092</v>
      </c>
      <c r="I71" s="64" t="s">
        <v>1092</v>
      </c>
      <c r="J71" s="62">
        <v>0.0</v>
      </c>
      <c r="K71" s="62">
        <v>0.0</v>
      </c>
      <c r="L71" s="62">
        <v>0.0</v>
      </c>
      <c r="M71" s="62">
        <v>0.0</v>
      </c>
      <c r="N71" s="62">
        <v>0.0</v>
      </c>
      <c r="O71" s="62">
        <v>419.45721907877606</v>
      </c>
      <c r="P71" s="62">
        <v>279.63814605251736</v>
      </c>
      <c r="Q71" s="62">
        <v>209.72860953938803</v>
      </c>
      <c r="R71" s="62">
        <v>104.86430476969402</v>
      </c>
      <c r="S71" s="62">
        <v>0.0</v>
      </c>
      <c r="T71" s="62">
        <v>0.0</v>
      </c>
      <c r="U71" s="62">
        <v>139.81907302625868</v>
      </c>
      <c r="V71" s="62">
        <v>139.81907302625868</v>
      </c>
      <c r="W71" s="62">
        <v>279.63814605251736</v>
      </c>
      <c r="X71" s="62">
        <v>0.0</v>
      </c>
      <c r="Y71" s="62">
        <v>0.0</v>
      </c>
      <c r="Z71" s="62">
        <v>0.0</v>
      </c>
      <c r="AA71" s="62">
        <v>0.0</v>
      </c>
    </row>
    <row r="72" ht="22.5" customHeight="1">
      <c r="A72" s="62" t="s">
        <v>95</v>
      </c>
      <c r="B72" s="62" t="s">
        <v>1115</v>
      </c>
      <c r="C72" s="62" t="s">
        <v>1116</v>
      </c>
      <c r="D72" s="62">
        <v>2023.0</v>
      </c>
      <c r="E72" s="63">
        <v>30.7513054957</v>
      </c>
      <c r="F72" s="64" t="s">
        <v>1092</v>
      </c>
      <c r="G72" s="64" t="s">
        <v>1092</v>
      </c>
      <c r="H72" s="64" t="s">
        <v>1092</v>
      </c>
      <c r="I72" s="64" t="s">
        <v>1092</v>
      </c>
      <c r="J72" s="62">
        <v>130.07577842701104</v>
      </c>
      <c r="K72" s="62">
        <v>97.55683382025828</v>
      </c>
      <c r="L72" s="62">
        <v>0.0</v>
      </c>
      <c r="M72" s="62">
        <v>0.0</v>
      </c>
      <c r="N72" s="62">
        <v>0.0</v>
      </c>
      <c r="O72" s="62">
        <v>130.07577842701104</v>
      </c>
      <c r="P72" s="62">
        <v>97.55683382025828</v>
      </c>
      <c r="Q72" s="62">
        <v>0.0</v>
      </c>
      <c r="R72" s="62">
        <v>0.0</v>
      </c>
      <c r="S72" s="62">
        <v>65.03788921350552</v>
      </c>
      <c r="T72" s="62">
        <v>0.0</v>
      </c>
      <c r="U72" s="62">
        <v>65.03788921350552</v>
      </c>
      <c r="V72" s="62">
        <v>97.55683382025828</v>
      </c>
      <c r="W72" s="62">
        <v>0.0</v>
      </c>
      <c r="X72" s="62">
        <v>0.0</v>
      </c>
      <c r="Y72" s="62">
        <v>0.0</v>
      </c>
      <c r="Z72" s="62">
        <v>0.0</v>
      </c>
      <c r="AA72" s="62">
        <v>585.3410029215497</v>
      </c>
    </row>
    <row r="73" ht="22.5" customHeight="1">
      <c r="A73" s="62" t="s">
        <v>95</v>
      </c>
      <c r="B73" s="62" t="s">
        <v>1125</v>
      </c>
      <c r="C73" s="62" t="s">
        <v>1126</v>
      </c>
      <c r="D73" s="62">
        <v>2024.0</v>
      </c>
      <c r="E73" s="63">
        <v>32.6661500852</v>
      </c>
      <c r="F73" s="64" t="s">
        <v>1092</v>
      </c>
      <c r="G73" s="64" t="s">
        <v>1092</v>
      </c>
      <c r="H73" s="64" t="s">
        <v>1092</v>
      </c>
      <c r="I73" s="64" t="s">
        <v>1092</v>
      </c>
      <c r="J73" s="62">
        <v>673.4800379787487</v>
      </c>
      <c r="K73" s="62">
        <v>0.0</v>
      </c>
      <c r="L73" s="62">
        <v>765.3182249758507</v>
      </c>
      <c r="M73" s="62">
        <v>551.0291219826125</v>
      </c>
      <c r="N73" s="62">
        <v>551.0291219826125</v>
      </c>
      <c r="O73" s="62">
        <v>244.90183199227224</v>
      </c>
      <c r="P73" s="62">
        <v>0.0</v>
      </c>
      <c r="Q73" s="62">
        <v>0.0</v>
      </c>
      <c r="R73" s="62">
        <v>1102.058243965225</v>
      </c>
      <c r="S73" s="62">
        <v>918.3818699710208</v>
      </c>
      <c r="T73" s="62">
        <v>0.0</v>
      </c>
      <c r="U73" s="62">
        <v>0.0</v>
      </c>
      <c r="V73" s="62">
        <v>91.83818699710208</v>
      </c>
      <c r="W73" s="62">
        <v>229.5954674927552</v>
      </c>
      <c r="X73" s="62">
        <v>306.1272899903403</v>
      </c>
      <c r="Y73" s="62">
        <v>183.67637399420417</v>
      </c>
      <c r="Z73" s="62">
        <v>0.0</v>
      </c>
      <c r="AA73" s="62">
        <v>0.0</v>
      </c>
    </row>
    <row r="74" ht="22.5" customHeight="1">
      <c r="A74" s="62" t="s">
        <v>95</v>
      </c>
      <c r="B74" s="62" t="s">
        <v>1127</v>
      </c>
      <c r="C74" s="62" t="s">
        <v>1128</v>
      </c>
      <c r="D74" s="62">
        <v>2024.0</v>
      </c>
      <c r="E74" s="63">
        <v>8.50617469066</v>
      </c>
      <c r="F74" s="64" t="s">
        <v>1092</v>
      </c>
      <c r="G74" s="64" t="s">
        <v>1092</v>
      </c>
      <c r="H74" s="64" t="s">
        <v>1092</v>
      </c>
      <c r="I74" s="64" t="s">
        <v>1092</v>
      </c>
      <c r="J74" s="62">
        <v>293.90414503772945</v>
      </c>
      <c r="K74" s="62">
        <v>0.0</v>
      </c>
      <c r="L74" s="62">
        <v>470.2466320603671</v>
      </c>
      <c r="M74" s="62">
        <v>352.68497404527534</v>
      </c>
      <c r="N74" s="62">
        <v>0.0</v>
      </c>
      <c r="O74" s="62">
        <v>0.0</v>
      </c>
      <c r="P74" s="62">
        <v>0.0</v>
      </c>
      <c r="Q74" s="62">
        <v>0.0</v>
      </c>
      <c r="R74" s="62">
        <v>470.2466320603671</v>
      </c>
      <c r="S74" s="62">
        <v>352.68497404527534</v>
      </c>
      <c r="T74" s="62">
        <v>0.0</v>
      </c>
      <c r="U74" s="62">
        <v>0.0</v>
      </c>
      <c r="V74" s="62">
        <v>235.12331603018356</v>
      </c>
      <c r="W74" s="62">
        <v>352.68497404527534</v>
      </c>
      <c r="X74" s="62">
        <v>352.68497404527534</v>
      </c>
      <c r="Y74" s="62">
        <v>117.56165801509178</v>
      </c>
      <c r="Z74" s="62">
        <v>0.0</v>
      </c>
      <c r="AA74" s="62">
        <v>0.0</v>
      </c>
    </row>
    <row r="75" ht="22.5" customHeight="1">
      <c r="A75" s="62" t="s">
        <v>95</v>
      </c>
      <c r="B75" s="62" t="s">
        <v>1157</v>
      </c>
      <c r="C75" s="62" t="s">
        <v>1158</v>
      </c>
      <c r="D75" s="62">
        <v>2027.0</v>
      </c>
      <c r="E75" s="63">
        <v>27.3393036699</v>
      </c>
      <c r="F75" s="64" t="s">
        <v>1092</v>
      </c>
      <c r="G75" s="64" t="s">
        <v>1092</v>
      </c>
      <c r="H75" s="64" t="s">
        <v>1092</v>
      </c>
      <c r="I75" s="64" t="s">
        <v>1092</v>
      </c>
      <c r="J75" s="62">
        <v>438.9285164278616</v>
      </c>
      <c r="K75" s="62">
        <v>146.30950547595387</v>
      </c>
      <c r="L75" s="62">
        <v>0.0</v>
      </c>
      <c r="M75" s="62">
        <v>0.0</v>
      </c>
      <c r="N75" s="62">
        <v>548.660645534827</v>
      </c>
      <c r="O75" s="62">
        <v>548.660645534827</v>
      </c>
      <c r="P75" s="62">
        <v>146.30950547595387</v>
      </c>
      <c r="Q75" s="62">
        <v>0.0</v>
      </c>
      <c r="R75" s="62">
        <v>0.0</v>
      </c>
      <c r="S75" s="62">
        <v>0.0</v>
      </c>
      <c r="T75" s="62">
        <v>0.0</v>
      </c>
      <c r="U75" s="62">
        <v>365.7737636898847</v>
      </c>
      <c r="V75" s="62">
        <v>256.0416345829193</v>
      </c>
      <c r="W75" s="62">
        <v>329.19638732089624</v>
      </c>
      <c r="X75" s="62">
        <v>0.0</v>
      </c>
      <c r="Y75" s="62">
        <v>0.0</v>
      </c>
      <c r="Z75" s="62">
        <v>365.7737636898847</v>
      </c>
      <c r="AA75" s="62">
        <v>365.7737636898847</v>
      </c>
    </row>
    <row r="76" ht="22.5" customHeight="1">
      <c r="A76" s="62" t="s">
        <v>95</v>
      </c>
      <c r="B76" s="62" t="s">
        <v>1119</v>
      </c>
      <c r="C76" s="62" t="s">
        <v>1120</v>
      </c>
      <c r="D76" s="62">
        <v>2023.0</v>
      </c>
      <c r="E76" s="63">
        <v>33.5305766338</v>
      </c>
      <c r="F76" s="64" t="s">
        <v>1092</v>
      </c>
      <c r="G76" s="64" t="s">
        <v>1092</v>
      </c>
      <c r="H76" s="64" t="s">
        <v>1092</v>
      </c>
      <c r="I76" s="64" t="s">
        <v>1092</v>
      </c>
      <c r="J76" s="62">
        <v>715.7646067979384</v>
      </c>
      <c r="K76" s="62">
        <v>0.0</v>
      </c>
      <c r="L76" s="62">
        <v>447.35287924871153</v>
      </c>
      <c r="M76" s="62">
        <v>596.4705056649486</v>
      </c>
      <c r="N76" s="62">
        <v>447.35287924871153</v>
      </c>
      <c r="O76" s="62">
        <v>0.0</v>
      </c>
      <c r="P76" s="62">
        <v>178.9411516994846</v>
      </c>
      <c r="Q76" s="62">
        <v>298.2352528324743</v>
      </c>
      <c r="R76" s="62">
        <v>298.2352528324743</v>
      </c>
      <c r="S76" s="62">
        <v>0.0</v>
      </c>
      <c r="T76" s="62">
        <v>0.0</v>
      </c>
      <c r="U76" s="62">
        <v>0.0</v>
      </c>
      <c r="V76" s="62">
        <v>447.35287924871153</v>
      </c>
      <c r="W76" s="62">
        <v>447.35287924871153</v>
      </c>
      <c r="X76" s="62">
        <v>149.11762641623716</v>
      </c>
      <c r="Y76" s="62">
        <v>0.0</v>
      </c>
      <c r="Z76" s="62">
        <v>0.0</v>
      </c>
      <c r="AA76" s="62">
        <v>656.1175562314436</v>
      </c>
    </row>
    <row r="77" ht="22.5" customHeight="1">
      <c r="A77" s="62" t="s">
        <v>95</v>
      </c>
      <c r="B77" s="62" t="s">
        <v>1129</v>
      </c>
      <c r="C77" s="62" t="s">
        <v>1130</v>
      </c>
      <c r="D77" s="62">
        <v>2025.0</v>
      </c>
      <c r="E77" s="63">
        <v>21.6827396902</v>
      </c>
      <c r="F77" s="64" t="s">
        <v>1092</v>
      </c>
      <c r="G77" s="64" t="s">
        <v>1092</v>
      </c>
      <c r="H77" s="64" t="s">
        <v>1092</v>
      </c>
      <c r="I77" s="64" t="s">
        <v>1092</v>
      </c>
      <c r="J77" s="62">
        <v>0.0</v>
      </c>
      <c r="K77" s="62">
        <v>0.0</v>
      </c>
      <c r="L77" s="62">
        <v>737.9141302531783</v>
      </c>
      <c r="M77" s="62">
        <v>507.3159645490601</v>
      </c>
      <c r="N77" s="62">
        <v>230.5981657041182</v>
      </c>
      <c r="O77" s="62">
        <v>0.0</v>
      </c>
      <c r="P77" s="62">
        <v>0.0</v>
      </c>
      <c r="Q77" s="62">
        <v>0.0</v>
      </c>
      <c r="R77" s="62">
        <v>92.23926628164729</v>
      </c>
      <c r="S77" s="62">
        <v>276.71779884494185</v>
      </c>
      <c r="T77" s="62">
        <v>0.0</v>
      </c>
      <c r="U77" s="62">
        <v>276.71779884494185</v>
      </c>
      <c r="V77" s="62">
        <v>0.0</v>
      </c>
      <c r="W77" s="62">
        <v>138.35889942247093</v>
      </c>
      <c r="X77" s="62">
        <v>322.8374319857655</v>
      </c>
      <c r="Y77" s="62">
        <v>322.8374319857655</v>
      </c>
      <c r="Z77" s="62">
        <v>0.0</v>
      </c>
      <c r="AA77" s="62">
        <v>0.0</v>
      </c>
    </row>
    <row r="78" ht="22.5" customHeight="1">
      <c r="A78" s="62" t="s">
        <v>95</v>
      </c>
      <c r="B78" s="62" t="s">
        <v>1168</v>
      </c>
      <c r="C78" s="62" t="s">
        <v>1169</v>
      </c>
      <c r="D78" s="62" t="s">
        <v>1163</v>
      </c>
      <c r="E78" s="63">
        <v>8.73790091166</v>
      </c>
      <c r="F78" s="64" t="s">
        <v>1092</v>
      </c>
      <c r="G78" s="64" t="s">
        <v>1092</v>
      </c>
      <c r="H78" s="64" t="s">
        <v>1092</v>
      </c>
      <c r="I78" s="64" t="s">
        <v>1092</v>
      </c>
      <c r="J78" s="62">
        <v>0.0</v>
      </c>
      <c r="K78" s="62">
        <v>0.0</v>
      </c>
      <c r="L78" s="62">
        <v>0.0</v>
      </c>
      <c r="M78" s="62">
        <v>0.0</v>
      </c>
      <c r="N78" s="62">
        <v>0.0</v>
      </c>
      <c r="O78" s="62">
        <v>0.0</v>
      </c>
      <c r="P78" s="62">
        <v>0.0</v>
      </c>
      <c r="Q78" s="62">
        <v>0.0</v>
      </c>
      <c r="R78" s="62">
        <v>0.0</v>
      </c>
      <c r="S78" s="62">
        <v>0.0</v>
      </c>
      <c r="T78" s="62">
        <v>0.0</v>
      </c>
      <c r="U78" s="62">
        <v>114.44396201215595</v>
      </c>
      <c r="V78" s="62">
        <v>0.0</v>
      </c>
      <c r="W78" s="62">
        <v>0.0</v>
      </c>
      <c r="X78" s="62">
        <v>0.0</v>
      </c>
      <c r="Y78" s="62">
        <v>0.0</v>
      </c>
      <c r="Z78" s="62">
        <v>0.0</v>
      </c>
      <c r="AA78" s="62">
        <v>0.0</v>
      </c>
    </row>
    <row r="79" ht="22.5" customHeight="1">
      <c r="A79" s="62" t="s">
        <v>95</v>
      </c>
      <c r="B79" s="62" t="s">
        <v>1101</v>
      </c>
      <c r="C79" s="62" t="s">
        <v>1102</v>
      </c>
      <c r="D79" s="62">
        <v>2022.0</v>
      </c>
      <c r="E79" s="63">
        <v>7.2930020469</v>
      </c>
      <c r="F79" s="64" t="s">
        <v>1092</v>
      </c>
      <c r="G79" s="64" t="s">
        <v>1092</v>
      </c>
      <c r="H79" s="64" t="s">
        <v>1092</v>
      </c>
      <c r="I79" s="64" t="s">
        <v>1092</v>
      </c>
      <c r="J79" s="62">
        <v>0.0</v>
      </c>
      <c r="K79" s="62">
        <v>0.0</v>
      </c>
      <c r="L79" s="62">
        <v>0.0</v>
      </c>
      <c r="M79" s="62">
        <v>0.0</v>
      </c>
      <c r="N79" s="62">
        <v>0.0</v>
      </c>
      <c r="O79" s="62">
        <v>0.0</v>
      </c>
      <c r="P79" s="62">
        <v>0.0</v>
      </c>
      <c r="Q79" s="62">
        <v>0.0</v>
      </c>
      <c r="R79" s="62">
        <v>479.9121099229264</v>
      </c>
      <c r="S79" s="62">
        <v>479.9121099229264</v>
      </c>
      <c r="T79" s="62">
        <v>0.0</v>
      </c>
      <c r="U79" s="62">
        <v>274.2354913845294</v>
      </c>
      <c r="V79" s="62">
        <v>0.0</v>
      </c>
      <c r="W79" s="62">
        <v>0.0</v>
      </c>
      <c r="X79" s="62">
        <v>0.0</v>
      </c>
      <c r="Y79" s="62">
        <v>0.0</v>
      </c>
      <c r="Z79" s="62">
        <v>274.2354913845294</v>
      </c>
      <c r="AA79" s="62">
        <v>274.2354913845294</v>
      </c>
    </row>
    <row r="80" ht="22.5" customHeight="1">
      <c r="A80" s="62" t="s">
        <v>95</v>
      </c>
      <c r="B80" s="62" t="s">
        <v>1105</v>
      </c>
      <c r="C80" s="62" t="s">
        <v>1106</v>
      </c>
      <c r="D80" s="62">
        <v>2022.0</v>
      </c>
      <c r="E80" s="63">
        <v>21.6269020049</v>
      </c>
      <c r="F80" s="64" t="s">
        <v>1092</v>
      </c>
      <c r="G80" s="64" t="s">
        <v>1092</v>
      </c>
      <c r="H80" s="64" t="s">
        <v>1092</v>
      </c>
      <c r="I80" s="64" t="s">
        <v>1092</v>
      </c>
      <c r="J80" s="62">
        <v>369.90966150341103</v>
      </c>
      <c r="K80" s="62">
        <v>0.0</v>
      </c>
      <c r="L80" s="62">
        <v>0.0</v>
      </c>
      <c r="M80" s="62">
        <v>0.0</v>
      </c>
      <c r="N80" s="62">
        <v>0.0</v>
      </c>
      <c r="O80" s="62">
        <v>0.0</v>
      </c>
      <c r="P80" s="62">
        <v>369.90966150341103</v>
      </c>
      <c r="Q80" s="62">
        <v>369.90966150341103</v>
      </c>
      <c r="R80" s="62">
        <v>184.95483075170552</v>
      </c>
      <c r="S80" s="62">
        <v>0.0</v>
      </c>
      <c r="T80" s="62">
        <v>0.0</v>
      </c>
      <c r="U80" s="62">
        <v>277.43224612755824</v>
      </c>
      <c r="V80" s="62">
        <v>693.5806153188956</v>
      </c>
      <c r="W80" s="62">
        <v>693.5806153188956</v>
      </c>
      <c r="X80" s="62">
        <v>0.0</v>
      </c>
      <c r="Y80" s="62">
        <v>0.0</v>
      </c>
      <c r="Z80" s="62">
        <v>369.90966150341103</v>
      </c>
      <c r="AA80" s="62">
        <v>554.8644922551165</v>
      </c>
    </row>
    <row r="81" ht="22.5" customHeight="1">
      <c r="A81" s="62" t="s">
        <v>95</v>
      </c>
      <c r="B81" s="62" t="s">
        <v>1093</v>
      </c>
      <c r="C81" s="62" t="s">
        <v>1094</v>
      </c>
      <c r="D81" s="62">
        <v>2021.0</v>
      </c>
      <c r="E81" s="63">
        <v>31.0370262599</v>
      </c>
      <c r="F81" s="64" t="s">
        <v>1092</v>
      </c>
      <c r="G81" s="64" t="s">
        <v>1092</v>
      </c>
      <c r="H81" s="64" t="s">
        <v>1092</v>
      </c>
      <c r="I81" s="64" t="s">
        <v>1092</v>
      </c>
      <c r="J81" s="62">
        <v>386.63497912182595</v>
      </c>
      <c r="K81" s="62">
        <v>128.87832637394197</v>
      </c>
      <c r="L81" s="62">
        <v>0.0</v>
      </c>
      <c r="M81" s="62">
        <v>0.0</v>
      </c>
      <c r="N81" s="62">
        <v>0.0</v>
      </c>
      <c r="O81" s="62">
        <v>225.53707115439846</v>
      </c>
      <c r="P81" s="62">
        <v>418.85456071531144</v>
      </c>
      <c r="Q81" s="62">
        <v>322.195815934855</v>
      </c>
      <c r="R81" s="62">
        <v>0.0</v>
      </c>
      <c r="S81" s="62">
        <v>0.0</v>
      </c>
      <c r="T81" s="62">
        <v>0.0</v>
      </c>
      <c r="U81" s="62">
        <v>193.31748956091297</v>
      </c>
      <c r="V81" s="62">
        <v>64.43916318697099</v>
      </c>
      <c r="W81" s="62">
        <v>0.0</v>
      </c>
      <c r="X81" s="62">
        <v>0.0</v>
      </c>
      <c r="Y81" s="62">
        <v>386.63497912182595</v>
      </c>
      <c r="Z81" s="62">
        <v>579.952468682739</v>
      </c>
      <c r="AA81" s="62">
        <v>579.952468682739</v>
      </c>
    </row>
    <row r="82" ht="22.5" customHeight="1">
      <c r="A82" s="62" t="s">
        <v>95</v>
      </c>
      <c r="B82" s="62" t="s">
        <v>1123</v>
      </c>
      <c r="C82" s="62" t="s">
        <v>1124</v>
      </c>
      <c r="D82" s="62">
        <v>2024.0</v>
      </c>
      <c r="E82" s="63">
        <v>21.0156820939</v>
      </c>
      <c r="F82" s="64" t="s">
        <v>1092</v>
      </c>
      <c r="G82" s="64" t="s">
        <v>1092</v>
      </c>
      <c r="H82" s="64" t="s">
        <v>1092</v>
      </c>
      <c r="I82" s="64" t="s">
        <v>1092</v>
      </c>
      <c r="J82" s="62">
        <v>713.7527077626422</v>
      </c>
      <c r="K82" s="62">
        <v>571.0021662101137</v>
      </c>
      <c r="L82" s="62">
        <v>713.7527077626422</v>
      </c>
      <c r="M82" s="62">
        <v>285.50108310505686</v>
      </c>
      <c r="N82" s="62">
        <v>0.0</v>
      </c>
      <c r="O82" s="62">
        <v>0.0</v>
      </c>
      <c r="P82" s="62">
        <v>761.336221613485</v>
      </c>
      <c r="Q82" s="62">
        <v>571.0021662101137</v>
      </c>
      <c r="R82" s="62">
        <v>380.6681108067425</v>
      </c>
      <c r="S82" s="62">
        <v>0.0</v>
      </c>
      <c r="T82" s="62">
        <v>0.0</v>
      </c>
      <c r="U82" s="62">
        <v>0.0</v>
      </c>
      <c r="V82" s="62">
        <v>285.50108310505686</v>
      </c>
      <c r="W82" s="62">
        <v>713.7527077626422</v>
      </c>
      <c r="X82" s="62">
        <v>0.0</v>
      </c>
      <c r="Y82" s="62">
        <v>237.91756925421407</v>
      </c>
      <c r="Z82" s="62">
        <v>0.0</v>
      </c>
      <c r="AA82" s="62">
        <v>142.75054155252843</v>
      </c>
    </row>
    <row r="83" ht="22.5" customHeight="1">
      <c r="A83" s="62" t="s">
        <v>234</v>
      </c>
      <c r="B83" s="62" t="s">
        <v>1155</v>
      </c>
      <c r="C83" s="62" t="s">
        <v>1156</v>
      </c>
      <c r="D83" s="62">
        <v>2026.0</v>
      </c>
      <c r="E83" s="63">
        <v>18.753786413</v>
      </c>
      <c r="F83" s="64" t="s">
        <v>1092</v>
      </c>
      <c r="G83" s="64" t="s">
        <v>1092</v>
      </c>
      <c r="H83" s="64" t="s">
        <v>1092</v>
      </c>
      <c r="I83" s="64" t="s">
        <v>1092</v>
      </c>
      <c r="J83" s="62">
        <v>159.9676957993091</v>
      </c>
      <c r="K83" s="62">
        <v>106.64513053287273</v>
      </c>
      <c r="L83" s="62">
        <v>0.0</v>
      </c>
      <c r="M83" s="62">
        <v>0.0</v>
      </c>
      <c r="N83" s="62">
        <v>0.0</v>
      </c>
      <c r="O83" s="62">
        <v>213.29026106574545</v>
      </c>
      <c r="P83" s="62">
        <v>533.2256526643637</v>
      </c>
      <c r="Q83" s="62">
        <v>533.2256526643637</v>
      </c>
      <c r="R83" s="62">
        <v>159.9676957993091</v>
      </c>
      <c r="S83" s="62">
        <v>0.0</v>
      </c>
      <c r="T83" s="62">
        <v>0.0</v>
      </c>
      <c r="U83" s="62">
        <v>159.9676957993091</v>
      </c>
      <c r="V83" s="62">
        <v>266.61282633218184</v>
      </c>
      <c r="W83" s="62">
        <v>319.9353915986182</v>
      </c>
      <c r="X83" s="62">
        <v>426.5805221314909</v>
      </c>
      <c r="Y83" s="62">
        <v>213.29026106574545</v>
      </c>
      <c r="Z83" s="62">
        <v>0.0</v>
      </c>
      <c r="AA83" s="62">
        <v>0.0</v>
      </c>
    </row>
    <row r="84" ht="22.5" customHeight="1">
      <c r="A84" s="62" t="s">
        <v>234</v>
      </c>
      <c r="B84" s="62" t="s">
        <v>1170</v>
      </c>
      <c r="C84" s="62" t="s">
        <v>1171</v>
      </c>
      <c r="D84" s="62" t="s">
        <v>1163</v>
      </c>
      <c r="E84" s="63">
        <v>10.9539335449</v>
      </c>
      <c r="F84" s="64" t="s">
        <v>1092</v>
      </c>
      <c r="G84" s="64" t="s">
        <v>1092</v>
      </c>
      <c r="H84" s="64" t="s">
        <v>1092</v>
      </c>
      <c r="I84" s="64" t="s">
        <v>1092</v>
      </c>
      <c r="J84" s="62">
        <v>136.93710974706244</v>
      </c>
      <c r="K84" s="62">
        <v>0.0</v>
      </c>
      <c r="L84" s="62">
        <v>0.0</v>
      </c>
      <c r="M84" s="62">
        <v>0.0</v>
      </c>
      <c r="N84" s="62">
        <v>0.0</v>
      </c>
      <c r="O84" s="62">
        <v>228.22851624510406</v>
      </c>
      <c r="P84" s="62">
        <v>182.58281299608325</v>
      </c>
      <c r="Q84" s="62">
        <v>0.0</v>
      </c>
      <c r="R84" s="62">
        <v>0.0</v>
      </c>
      <c r="S84" s="62">
        <v>0.0</v>
      </c>
      <c r="T84" s="62">
        <v>0.0</v>
      </c>
      <c r="U84" s="62">
        <v>0.0</v>
      </c>
      <c r="V84" s="62">
        <v>0.0</v>
      </c>
      <c r="W84" s="62">
        <v>0.0</v>
      </c>
      <c r="X84" s="62">
        <v>0.0</v>
      </c>
      <c r="Y84" s="62">
        <v>0.0</v>
      </c>
      <c r="Z84" s="62">
        <v>0.0</v>
      </c>
      <c r="AA84" s="62">
        <v>0.0</v>
      </c>
    </row>
    <row r="85" ht="22.5" customHeight="1">
      <c r="A85" s="62" t="s">
        <v>234</v>
      </c>
      <c r="B85" s="62" t="s">
        <v>1174</v>
      </c>
      <c r="C85" s="62" t="s">
        <v>1175</v>
      </c>
      <c r="D85" s="62" t="s">
        <v>1163</v>
      </c>
      <c r="E85" s="63">
        <v>4.64954341293</v>
      </c>
      <c r="F85" s="64" t="s">
        <v>1092</v>
      </c>
      <c r="G85" s="64" t="s">
        <v>1092</v>
      </c>
      <c r="H85" s="64" t="s">
        <v>1092</v>
      </c>
      <c r="I85" s="64" t="s">
        <v>1092</v>
      </c>
      <c r="J85" s="62">
        <v>0.0</v>
      </c>
      <c r="K85" s="62">
        <v>0.0</v>
      </c>
      <c r="L85" s="62">
        <v>0.0</v>
      </c>
      <c r="M85" s="62">
        <v>0.0</v>
      </c>
      <c r="N85" s="62">
        <v>0.0</v>
      </c>
      <c r="O85" s="62">
        <v>430.14976361725405</v>
      </c>
      <c r="P85" s="62">
        <v>0.0</v>
      </c>
      <c r="Q85" s="62">
        <v>0.0</v>
      </c>
      <c r="R85" s="62">
        <v>0.0</v>
      </c>
      <c r="S85" s="62">
        <v>0.0</v>
      </c>
      <c r="T85" s="62">
        <v>0.0</v>
      </c>
      <c r="U85" s="62">
        <v>0.0</v>
      </c>
      <c r="V85" s="62">
        <v>0.0</v>
      </c>
      <c r="W85" s="62">
        <v>0.0</v>
      </c>
      <c r="X85" s="62">
        <v>0.0</v>
      </c>
      <c r="Y85" s="62">
        <v>0.0</v>
      </c>
      <c r="Z85" s="62">
        <v>0.0</v>
      </c>
      <c r="AA85" s="62">
        <v>0.0</v>
      </c>
    </row>
    <row r="86" ht="22.5" customHeight="1">
      <c r="A86" s="62" t="s">
        <v>116</v>
      </c>
      <c r="B86" s="62" t="s">
        <v>1190</v>
      </c>
      <c r="C86" s="62" t="s">
        <v>1191</v>
      </c>
      <c r="D86" s="62" t="s">
        <v>1163</v>
      </c>
      <c r="E86" s="63">
        <v>2.23781443696</v>
      </c>
      <c r="F86" s="64" t="s">
        <v>1092</v>
      </c>
      <c r="G86" s="64" t="s">
        <v>1092</v>
      </c>
      <c r="H86" s="64" t="s">
        <v>1092</v>
      </c>
      <c r="I86" s="64" t="s">
        <v>1092</v>
      </c>
      <c r="J86" s="62">
        <v>0.0</v>
      </c>
      <c r="K86" s="62">
        <v>0.0</v>
      </c>
      <c r="L86" s="62">
        <v>0.0</v>
      </c>
      <c r="M86" s="62">
        <v>0.0</v>
      </c>
      <c r="N86" s="62">
        <v>0.0</v>
      </c>
      <c r="O86" s="62">
        <v>0.0</v>
      </c>
      <c r="P86" s="62">
        <v>0.0</v>
      </c>
      <c r="Q86" s="62">
        <v>0.0</v>
      </c>
      <c r="R86" s="62">
        <v>0.0</v>
      </c>
      <c r="S86" s="62">
        <v>0.0</v>
      </c>
      <c r="T86" s="62">
        <v>0.0</v>
      </c>
      <c r="U86" s="62">
        <v>0.0</v>
      </c>
      <c r="V86" s="62">
        <v>0.0</v>
      </c>
      <c r="W86" s="62">
        <v>0.0</v>
      </c>
      <c r="X86" s="62">
        <v>0.0</v>
      </c>
      <c r="Y86" s="62">
        <v>0.0</v>
      </c>
      <c r="Z86" s="62">
        <v>0.0</v>
      </c>
      <c r="AA86" s="62">
        <v>0.0</v>
      </c>
    </row>
    <row r="87" ht="22.5" customHeight="1">
      <c r="A87" s="62" t="s">
        <v>116</v>
      </c>
      <c r="B87" s="62" t="s">
        <v>1135</v>
      </c>
      <c r="C87" s="62" t="s">
        <v>1136</v>
      </c>
      <c r="D87" s="62">
        <v>2025.0</v>
      </c>
      <c r="E87" s="63">
        <v>9.37382988567</v>
      </c>
      <c r="F87" s="64" t="s">
        <v>1092</v>
      </c>
      <c r="G87" s="64" t="s">
        <v>1092</v>
      </c>
      <c r="H87" s="64" t="s">
        <v>1092</v>
      </c>
      <c r="I87" s="64" t="s">
        <v>1092</v>
      </c>
      <c r="J87" s="62">
        <v>533.3999081467886</v>
      </c>
      <c r="K87" s="62">
        <v>213.35996325871545</v>
      </c>
      <c r="L87" s="62">
        <v>0.0</v>
      </c>
      <c r="M87" s="62">
        <v>640.0798897761463</v>
      </c>
      <c r="N87" s="62">
        <v>426.7199265174309</v>
      </c>
      <c r="O87" s="62">
        <v>213.35996325871545</v>
      </c>
      <c r="P87" s="62">
        <v>0.0</v>
      </c>
      <c r="Q87" s="62">
        <v>0.0</v>
      </c>
      <c r="R87" s="62">
        <v>426.7199265174309</v>
      </c>
      <c r="S87" s="62">
        <v>640.0798897761463</v>
      </c>
      <c r="T87" s="62">
        <v>160.01997244403657</v>
      </c>
      <c r="U87" s="62">
        <v>0.0</v>
      </c>
      <c r="V87" s="62">
        <v>426.7199265174309</v>
      </c>
      <c r="W87" s="62">
        <v>640.0798897761463</v>
      </c>
      <c r="X87" s="62">
        <v>0.0</v>
      </c>
      <c r="Y87" s="62">
        <v>106.67998162935773</v>
      </c>
      <c r="Z87" s="62">
        <v>0.0</v>
      </c>
      <c r="AA87" s="62">
        <v>0.0</v>
      </c>
    </row>
    <row r="88" ht="22.5" customHeight="1">
      <c r="A88" s="62" t="s">
        <v>116</v>
      </c>
      <c r="B88" s="62" t="s">
        <v>1121</v>
      </c>
      <c r="C88" s="62" t="s">
        <v>1122</v>
      </c>
      <c r="D88" s="62">
        <v>2023.0</v>
      </c>
      <c r="E88" s="63">
        <v>14.3065187754</v>
      </c>
      <c r="F88" s="64" t="s">
        <v>1092</v>
      </c>
      <c r="G88" s="64" t="s">
        <v>1092</v>
      </c>
      <c r="H88" s="64" t="s">
        <v>1092</v>
      </c>
      <c r="I88" s="64" t="s">
        <v>1092</v>
      </c>
      <c r="J88" s="62">
        <v>559.1856499539193</v>
      </c>
      <c r="K88" s="62">
        <v>139.79641248847983</v>
      </c>
      <c r="L88" s="62">
        <v>0.0</v>
      </c>
      <c r="M88" s="62">
        <v>559.1856499539193</v>
      </c>
      <c r="N88" s="62">
        <v>209.69461873271976</v>
      </c>
      <c r="O88" s="62">
        <v>139.79641248847983</v>
      </c>
      <c r="P88" s="62">
        <v>0.0</v>
      </c>
      <c r="Q88" s="62">
        <v>0.0</v>
      </c>
      <c r="R88" s="62">
        <v>0.0</v>
      </c>
      <c r="S88" s="62">
        <v>489.28744370967945</v>
      </c>
      <c r="T88" s="62">
        <v>314.54192809907966</v>
      </c>
      <c r="U88" s="62">
        <v>314.54192809907966</v>
      </c>
      <c r="V88" s="62">
        <v>69.89820624423992</v>
      </c>
      <c r="W88" s="62">
        <v>349.4910312211996</v>
      </c>
      <c r="X88" s="62">
        <v>0.0</v>
      </c>
      <c r="Y88" s="62">
        <v>0.0</v>
      </c>
      <c r="Z88" s="62">
        <v>0.0</v>
      </c>
      <c r="AA88" s="62">
        <v>419.3892374654395</v>
      </c>
    </row>
    <row r="89" ht="22.5" customHeight="1">
      <c r="A89" s="62" t="s">
        <v>234</v>
      </c>
      <c r="B89" s="62" t="s">
        <v>1153</v>
      </c>
      <c r="C89" s="62" t="s">
        <v>1154</v>
      </c>
      <c r="D89" s="62">
        <v>2026.0</v>
      </c>
      <c r="E89" s="63">
        <v>21.8680151198</v>
      </c>
      <c r="F89" s="64" t="s">
        <v>1092</v>
      </c>
      <c r="G89" s="64" t="s">
        <v>1092</v>
      </c>
      <c r="H89" s="64" t="s">
        <v>1092</v>
      </c>
      <c r="I89" s="64" t="s">
        <v>1092</v>
      </c>
      <c r="J89" s="62">
        <v>411.5599861576423</v>
      </c>
      <c r="K89" s="62">
        <v>0.0</v>
      </c>
      <c r="L89" s="62">
        <v>0.0</v>
      </c>
      <c r="M89" s="62">
        <v>365.83109880679314</v>
      </c>
      <c r="N89" s="62">
        <v>365.83109880679314</v>
      </c>
      <c r="O89" s="62">
        <v>91.45777470169828</v>
      </c>
      <c r="P89" s="62">
        <v>91.45777470169828</v>
      </c>
      <c r="Q89" s="62">
        <v>228.64443675424573</v>
      </c>
      <c r="R89" s="62">
        <v>228.64443675424573</v>
      </c>
      <c r="S89" s="62">
        <v>228.64443675424573</v>
      </c>
      <c r="T89" s="62">
        <v>0.0</v>
      </c>
      <c r="U89" s="62">
        <v>137.18666205254743</v>
      </c>
      <c r="V89" s="62">
        <v>365.83109880679314</v>
      </c>
      <c r="W89" s="62">
        <v>548.7466482101897</v>
      </c>
      <c r="X89" s="62">
        <v>0.0</v>
      </c>
      <c r="Y89" s="62">
        <v>0.0</v>
      </c>
      <c r="Z89" s="62">
        <v>0.0</v>
      </c>
      <c r="AA89" s="62">
        <v>0.0</v>
      </c>
    </row>
    <row r="90" ht="22.5" customHeight="1">
      <c r="A90" s="62" t="s">
        <v>95</v>
      </c>
      <c r="B90" s="62" t="s">
        <v>1131</v>
      </c>
      <c r="C90" s="62" t="s">
        <v>1132</v>
      </c>
      <c r="D90" s="62">
        <v>2025.0</v>
      </c>
      <c r="E90" s="63">
        <v>27.6824254054</v>
      </c>
      <c r="F90" s="64" t="s">
        <v>1092</v>
      </c>
      <c r="G90" s="64" t="s">
        <v>1092</v>
      </c>
      <c r="H90" s="64" t="s">
        <v>1092</v>
      </c>
      <c r="I90" s="64" t="s">
        <v>1092</v>
      </c>
      <c r="J90" s="62">
        <v>0.0</v>
      </c>
      <c r="K90" s="62">
        <v>361.24002335609305</v>
      </c>
      <c r="L90" s="62">
        <v>722.4800467121861</v>
      </c>
      <c r="M90" s="62">
        <v>541.8600350341396</v>
      </c>
      <c r="N90" s="62">
        <v>288.99201868487444</v>
      </c>
      <c r="O90" s="62">
        <v>0.0</v>
      </c>
      <c r="P90" s="62">
        <v>0.0</v>
      </c>
      <c r="Q90" s="62">
        <v>0.0</v>
      </c>
      <c r="R90" s="62">
        <v>433.48802802731166</v>
      </c>
      <c r="S90" s="62">
        <v>433.48802802731166</v>
      </c>
      <c r="T90" s="62">
        <v>0.0</v>
      </c>
      <c r="U90" s="62">
        <v>0.0</v>
      </c>
      <c r="V90" s="62">
        <v>108.37200700682791</v>
      </c>
      <c r="W90" s="62">
        <v>433.48802802731166</v>
      </c>
      <c r="X90" s="62">
        <v>650.2320420409675</v>
      </c>
      <c r="Y90" s="62">
        <v>325.11602102048374</v>
      </c>
      <c r="Z90" s="62">
        <v>0.0</v>
      </c>
      <c r="AA90" s="62">
        <v>0.0</v>
      </c>
    </row>
    <row r="91" ht="22.5" customHeight="1">
      <c r="A91" s="62" t="s">
        <v>234</v>
      </c>
      <c r="B91" s="62" t="s">
        <v>1159</v>
      </c>
      <c r="C91" s="62" t="s">
        <v>1160</v>
      </c>
      <c r="D91" s="62">
        <v>2027.0</v>
      </c>
      <c r="E91" s="63">
        <v>66.6681395928</v>
      </c>
      <c r="F91" s="64" t="s">
        <v>1092</v>
      </c>
      <c r="G91" s="64" t="s">
        <v>1092</v>
      </c>
      <c r="H91" s="64" t="s">
        <v>1092</v>
      </c>
      <c r="I91" s="64" t="s">
        <v>1092</v>
      </c>
      <c r="J91" s="62">
        <v>0.0</v>
      </c>
      <c r="K91" s="62">
        <v>0.0</v>
      </c>
      <c r="L91" s="62">
        <v>0.0</v>
      </c>
      <c r="M91" s="62">
        <v>0.0</v>
      </c>
      <c r="N91" s="62">
        <v>0.0</v>
      </c>
      <c r="O91" s="62">
        <v>149.99668598941938</v>
      </c>
      <c r="P91" s="62">
        <v>224.99502898412908</v>
      </c>
      <c r="Q91" s="62">
        <v>119.99734879153552</v>
      </c>
      <c r="R91" s="62">
        <v>0.0</v>
      </c>
      <c r="S91" s="62">
        <v>0.0</v>
      </c>
      <c r="T91" s="62">
        <v>0.0</v>
      </c>
      <c r="U91" s="62">
        <v>0.0</v>
      </c>
      <c r="V91" s="62">
        <v>0.0</v>
      </c>
      <c r="W91" s="62">
        <v>149.99668598941938</v>
      </c>
      <c r="X91" s="62">
        <v>299.99337197883875</v>
      </c>
      <c r="Y91" s="62">
        <v>224.99502898412908</v>
      </c>
      <c r="Z91" s="62">
        <v>179.99602318730325</v>
      </c>
      <c r="AA91" s="62">
        <v>0.0</v>
      </c>
    </row>
    <row r="92" ht="22.5" customHeight="1">
      <c r="A92" s="62" t="s">
        <v>95</v>
      </c>
      <c r="B92" s="62" t="s">
        <v>1103</v>
      </c>
      <c r="C92" s="62" t="s">
        <v>1104</v>
      </c>
      <c r="D92" s="62">
        <v>2022.0</v>
      </c>
      <c r="E92" s="63">
        <v>16.8565995196</v>
      </c>
      <c r="F92" s="64" t="s">
        <v>1092</v>
      </c>
      <c r="G92" s="64" t="s">
        <v>1092</v>
      </c>
      <c r="H92" s="64" t="s">
        <v>1092</v>
      </c>
      <c r="I92" s="64" t="s">
        <v>1092</v>
      </c>
      <c r="J92" s="62">
        <v>0.0</v>
      </c>
      <c r="K92" s="62">
        <v>0.0</v>
      </c>
      <c r="L92" s="62">
        <v>0.0</v>
      </c>
      <c r="M92" s="62">
        <v>0.0</v>
      </c>
      <c r="N92" s="62">
        <v>0.0</v>
      </c>
      <c r="O92" s="62">
        <v>0.0</v>
      </c>
      <c r="P92" s="62">
        <v>118.647892042194</v>
      </c>
      <c r="Q92" s="62">
        <v>355.943676126582</v>
      </c>
      <c r="R92" s="62">
        <v>652.563406232067</v>
      </c>
      <c r="S92" s="62">
        <v>415.267622147679</v>
      </c>
      <c r="T92" s="62">
        <v>0.0</v>
      </c>
      <c r="U92" s="62">
        <v>59.323946021097</v>
      </c>
      <c r="V92" s="62">
        <v>0.0</v>
      </c>
      <c r="W92" s="62">
        <v>711.887352253164</v>
      </c>
      <c r="X92" s="62">
        <v>0.0</v>
      </c>
      <c r="Y92" s="62">
        <v>0.0</v>
      </c>
      <c r="Z92" s="62">
        <v>415.267622147679</v>
      </c>
      <c r="AA92" s="62">
        <v>296.619730105485</v>
      </c>
    </row>
    <row r="93" ht="22.5" customHeight="1">
      <c r="A93" s="62" t="s">
        <v>95</v>
      </c>
      <c r="B93" s="62" t="s">
        <v>1117</v>
      </c>
      <c r="C93" s="62" t="s">
        <v>1118</v>
      </c>
      <c r="D93" s="62">
        <v>2023.0</v>
      </c>
      <c r="E93" s="63">
        <v>20.6444992475</v>
      </c>
      <c r="F93" s="64" t="s">
        <v>1092</v>
      </c>
      <c r="G93" s="64" t="s">
        <v>1092</v>
      </c>
      <c r="H93" s="64" t="s">
        <v>1092</v>
      </c>
      <c r="I93" s="64" t="s">
        <v>1092</v>
      </c>
      <c r="J93" s="62">
        <v>0.0</v>
      </c>
      <c r="K93" s="62">
        <v>339.07337330294814</v>
      </c>
      <c r="L93" s="62">
        <v>775.0248532638815</v>
      </c>
      <c r="M93" s="62">
        <v>484.39053328992594</v>
      </c>
      <c r="N93" s="62">
        <v>242.19526664496297</v>
      </c>
      <c r="O93" s="62">
        <v>0.0</v>
      </c>
      <c r="P93" s="62">
        <v>96.87810665798519</v>
      </c>
      <c r="Q93" s="62">
        <v>387.51242663194074</v>
      </c>
      <c r="R93" s="62">
        <v>484.39053328992594</v>
      </c>
      <c r="S93" s="62">
        <v>242.19526664496297</v>
      </c>
      <c r="T93" s="62">
        <v>0.0</v>
      </c>
      <c r="U93" s="62">
        <v>145.31715998697777</v>
      </c>
      <c r="V93" s="62">
        <v>387.51242663194074</v>
      </c>
      <c r="W93" s="62">
        <v>581.2686399479111</v>
      </c>
      <c r="X93" s="62">
        <v>0.0</v>
      </c>
      <c r="Y93" s="62">
        <v>0.0</v>
      </c>
      <c r="Z93" s="62">
        <v>0.0</v>
      </c>
      <c r="AA93" s="62">
        <v>484.39053328992594</v>
      </c>
    </row>
    <row r="94" ht="22.5" customHeight="1">
      <c r="A94" s="62" t="s">
        <v>246</v>
      </c>
      <c r="B94" s="62" t="s">
        <v>1123</v>
      </c>
      <c r="C94" s="62" t="s">
        <v>1143</v>
      </c>
      <c r="D94" s="62">
        <v>2026.0</v>
      </c>
      <c r="E94" s="63">
        <v>34.1928592778</v>
      </c>
      <c r="F94" s="64" t="s">
        <v>1092</v>
      </c>
      <c r="G94" s="64" t="s">
        <v>1092</v>
      </c>
      <c r="H94" s="64" t="s">
        <v>1092</v>
      </c>
      <c r="I94" s="64" t="s">
        <v>1092</v>
      </c>
      <c r="J94" s="62">
        <v>0.0</v>
      </c>
      <c r="K94" s="62">
        <v>0.0</v>
      </c>
      <c r="L94" s="62">
        <v>0.0</v>
      </c>
      <c r="M94" s="62">
        <v>0.0</v>
      </c>
      <c r="N94" s="62">
        <v>0.0</v>
      </c>
      <c r="O94" s="62">
        <v>0.0</v>
      </c>
      <c r="P94" s="62">
        <v>0.0</v>
      </c>
      <c r="Q94" s="62">
        <v>0.0</v>
      </c>
      <c r="R94" s="62">
        <v>0.0</v>
      </c>
      <c r="S94" s="62">
        <v>380.1963414168279</v>
      </c>
      <c r="T94" s="62">
        <v>0.0</v>
      </c>
      <c r="U94" s="62">
        <v>292.4587241667907</v>
      </c>
      <c r="V94" s="62">
        <v>116.98348966671628</v>
      </c>
      <c r="W94" s="62">
        <v>0.0</v>
      </c>
      <c r="X94" s="62">
        <v>0.0</v>
      </c>
      <c r="Y94" s="62">
        <v>0.0</v>
      </c>
      <c r="Z94" s="62">
        <v>219.34404312509304</v>
      </c>
      <c r="AA94" s="62">
        <v>292.4587241667907</v>
      </c>
    </row>
    <row r="95" ht="22.5" customHeight="1">
      <c r="A95" s="62" t="s">
        <v>246</v>
      </c>
      <c r="B95" s="62" t="s">
        <v>1113</v>
      </c>
      <c r="C95" s="62" t="s">
        <v>1114</v>
      </c>
      <c r="D95" s="62">
        <v>2023.0</v>
      </c>
      <c r="E95" s="63">
        <v>42.8989254987</v>
      </c>
      <c r="F95" s="64" t="s">
        <v>1092</v>
      </c>
      <c r="G95" s="64" t="s">
        <v>1092</v>
      </c>
      <c r="H95" s="64" t="s">
        <v>1092</v>
      </c>
      <c r="I95" s="64" t="s">
        <v>1092</v>
      </c>
      <c r="J95" s="62">
        <v>0.0</v>
      </c>
      <c r="K95" s="62">
        <v>163.17425013855245</v>
      </c>
      <c r="L95" s="62">
        <v>116.55303581325175</v>
      </c>
      <c r="M95" s="62">
        <v>0.0</v>
      </c>
      <c r="N95" s="62">
        <v>0.0</v>
      </c>
      <c r="O95" s="62">
        <v>0.0</v>
      </c>
      <c r="P95" s="62">
        <v>0.0</v>
      </c>
      <c r="Q95" s="62">
        <v>0.0</v>
      </c>
      <c r="R95" s="62">
        <v>0.0</v>
      </c>
      <c r="S95" s="62">
        <v>582.7651790662587</v>
      </c>
      <c r="T95" s="62">
        <v>0.0</v>
      </c>
      <c r="U95" s="62">
        <v>466.212143253007</v>
      </c>
      <c r="V95" s="62">
        <v>186.4848573012028</v>
      </c>
      <c r="W95" s="62">
        <v>0.0</v>
      </c>
      <c r="X95" s="62">
        <v>0.0</v>
      </c>
      <c r="Y95" s="62">
        <v>0.0</v>
      </c>
      <c r="Z95" s="62">
        <v>0.0</v>
      </c>
      <c r="AA95" s="62">
        <v>279.7272859518042</v>
      </c>
    </row>
    <row r="96" ht="22.5" customHeight="1">
      <c r="A96" s="62" t="s">
        <v>246</v>
      </c>
      <c r="B96" s="62" t="s">
        <v>1090</v>
      </c>
      <c r="C96" s="62" t="s">
        <v>1091</v>
      </c>
      <c r="D96" s="62">
        <v>2021.0</v>
      </c>
      <c r="E96" s="63">
        <v>22.9580921452</v>
      </c>
      <c r="F96" s="64" t="s">
        <v>1092</v>
      </c>
      <c r="G96" s="64" t="s">
        <v>1092</v>
      </c>
      <c r="H96" s="64" t="s">
        <v>1092</v>
      </c>
      <c r="I96" s="64" t="s">
        <v>1092</v>
      </c>
      <c r="J96" s="62">
        <v>0.0</v>
      </c>
      <c r="K96" s="62">
        <v>261.3457582647807</v>
      </c>
      <c r="L96" s="62">
        <v>217.78813188731726</v>
      </c>
      <c r="M96" s="62">
        <v>0.0</v>
      </c>
      <c r="N96" s="62">
        <v>0.0</v>
      </c>
      <c r="O96" s="62">
        <v>0.0</v>
      </c>
      <c r="P96" s="62">
        <v>0.0</v>
      </c>
      <c r="Q96" s="62">
        <v>0.0</v>
      </c>
      <c r="R96" s="62">
        <v>0.0</v>
      </c>
      <c r="S96" s="62">
        <v>522.6915165295615</v>
      </c>
      <c r="T96" s="62">
        <v>0.0</v>
      </c>
      <c r="U96" s="62">
        <v>348.46101101970766</v>
      </c>
      <c r="V96" s="62">
        <v>261.3457582647807</v>
      </c>
      <c r="W96" s="62">
        <v>0.0</v>
      </c>
      <c r="X96" s="62">
        <v>0.0</v>
      </c>
      <c r="Y96" s="62">
        <v>174.23050550985383</v>
      </c>
      <c r="Z96" s="62">
        <v>174.23050550985383</v>
      </c>
      <c r="AA96" s="62">
        <v>174.23050550985383</v>
      </c>
    </row>
    <row r="97" ht="22.5" customHeight="1">
      <c r="A97" s="62" t="s">
        <v>246</v>
      </c>
      <c r="B97" s="62" t="s">
        <v>1164</v>
      </c>
      <c r="C97" s="62" t="s">
        <v>1165</v>
      </c>
      <c r="D97" s="62" t="s">
        <v>1163</v>
      </c>
      <c r="E97" s="63">
        <v>15.4976133198</v>
      </c>
      <c r="F97" s="64" t="s">
        <v>1092</v>
      </c>
      <c r="G97" s="64" t="s">
        <v>1092</v>
      </c>
      <c r="H97" s="64" t="s">
        <v>1092</v>
      </c>
      <c r="I97" s="64" t="s">
        <v>1092</v>
      </c>
      <c r="J97" s="62">
        <v>0.0</v>
      </c>
      <c r="K97" s="62">
        <v>387.15638828943446</v>
      </c>
      <c r="L97" s="62">
        <v>322.63032357452875</v>
      </c>
      <c r="M97" s="62">
        <v>0.0</v>
      </c>
      <c r="N97" s="62">
        <v>0.0</v>
      </c>
      <c r="O97" s="62">
        <v>0.0</v>
      </c>
      <c r="P97" s="62">
        <v>0.0</v>
      </c>
      <c r="Q97" s="62">
        <v>0.0</v>
      </c>
      <c r="R97" s="62">
        <v>0.0</v>
      </c>
      <c r="S97" s="62">
        <v>516.208517719246</v>
      </c>
      <c r="T97" s="62">
        <v>0.0</v>
      </c>
      <c r="U97" s="62">
        <v>0.0</v>
      </c>
      <c r="V97" s="62">
        <v>0.0</v>
      </c>
      <c r="W97" s="62">
        <v>0.0</v>
      </c>
      <c r="X97" s="62">
        <v>0.0</v>
      </c>
      <c r="Y97" s="62">
        <v>0.0</v>
      </c>
      <c r="Z97" s="62">
        <v>0.0</v>
      </c>
      <c r="AA97" s="62">
        <v>0.0</v>
      </c>
    </row>
    <row r="98" ht="22.5" customHeight="1">
      <c r="A98" s="62" t="s">
        <v>246</v>
      </c>
      <c r="B98" s="62" t="s">
        <v>1144</v>
      </c>
      <c r="C98" s="62" t="s">
        <v>1145</v>
      </c>
      <c r="D98" s="62">
        <v>2026.0</v>
      </c>
      <c r="E98" s="63">
        <v>35.3952011094</v>
      </c>
      <c r="F98" s="64" t="s">
        <v>1092</v>
      </c>
      <c r="G98" s="64" t="s">
        <v>1092</v>
      </c>
      <c r="H98" s="64" t="s">
        <v>1092</v>
      </c>
      <c r="I98" s="64" t="s">
        <v>1092</v>
      </c>
      <c r="J98" s="62">
        <v>0.0</v>
      </c>
      <c r="K98" s="62">
        <v>197.76692265045475</v>
      </c>
      <c r="L98" s="62">
        <v>141.2620876074677</v>
      </c>
      <c r="M98" s="62">
        <v>0.0</v>
      </c>
      <c r="N98" s="62">
        <v>0.0</v>
      </c>
      <c r="O98" s="62">
        <v>0.0</v>
      </c>
      <c r="P98" s="62">
        <v>0.0</v>
      </c>
      <c r="Q98" s="62">
        <v>0.0</v>
      </c>
      <c r="R98" s="62">
        <v>0.0</v>
      </c>
      <c r="S98" s="62">
        <v>0.0</v>
      </c>
      <c r="T98" s="62">
        <v>0.0</v>
      </c>
      <c r="U98" s="62">
        <v>197.76692265045475</v>
      </c>
      <c r="V98" s="62">
        <v>226.0193401719483</v>
      </c>
      <c r="W98" s="62">
        <v>141.2620876074677</v>
      </c>
      <c r="X98" s="62">
        <v>0.0</v>
      </c>
      <c r="Y98" s="62">
        <v>0.0</v>
      </c>
      <c r="Z98" s="62">
        <v>0.0</v>
      </c>
      <c r="AA98" s="62">
        <v>0.0</v>
      </c>
    </row>
    <row r="99" ht="22.5" customHeight="1">
      <c r="A99" s="62" t="s">
        <v>246</v>
      </c>
      <c r="B99" s="62" t="s">
        <v>1097</v>
      </c>
      <c r="C99" s="62" t="s">
        <v>1098</v>
      </c>
      <c r="D99" s="62">
        <v>2022.0</v>
      </c>
      <c r="E99" s="63">
        <v>17.0329955136</v>
      </c>
      <c r="F99" s="64" t="s">
        <v>1092</v>
      </c>
      <c r="G99" s="64" t="s">
        <v>1092</v>
      </c>
      <c r="H99" s="64" t="s">
        <v>1092</v>
      </c>
      <c r="I99" s="64" t="s">
        <v>1092</v>
      </c>
      <c r="J99" s="62">
        <v>0.0</v>
      </c>
      <c r="K99" s="62">
        <v>234.83831700690575</v>
      </c>
      <c r="L99" s="62">
        <v>0.0</v>
      </c>
      <c r="M99" s="62">
        <v>0.0</v>
      </c>
      <c r="N99" s="62">
        <v>0.0</v>
      </c>
      <c r="O99" s="62">
        <v>0.0</v>
      </c>
      <c r="P99" s="62">
        <v>0.0</v>
      </c>
      <c r="Q99" s="62">
        <v>0.0</v>
      </c>
      <c r="R99" s="62">
        <v>704.5149510207173</v>
      </c>
      <c r="S99" s="62">
        <v>998.0628472793494</v>
      </c>
      <c r="T99" s="62">
        <v>0.0</v>
      </c>
      <c r="U99" s="62">
        <v>293.5478962586322</v>
      </c>
      <c r="V99" s="62">
        <v>0.0</v>
      </c>
      <c r="W99" s="62">
        <v>0.0</v>
      </c>
      <c r="X99" s="62">
        <v>0.0</v>
      </c>
      <c r="Y99" s="62">
        <v>0.0</v>
      </c>
      <c r="Z99" s="62">
        <v>440.32184438794826</v>
      </c>
      <c r="AA99" s="62">
        <v>469.6766340138115</v>
      </c>
    </row>
    <row r="100" ht="22.5" customHeight="1">
      <c r="A100" s="62" t="s">
        <v>116</v>
      </c>
      <c r="B100" s="62" t="s">
        <v>1192</v>
      </c>
      <c r="C100" s="62" t="s">
        <v>1193</v>
      </c>
      <c r="D100" s="62" t="s">
        <v>1163</v>
      </c>
      <c r="E100" s="63">
        <v>5.94360357263</v>
      </c>
      <c r="F100" s="64" t="s">
        <v>1092</v>
      </c>
      <c r="G100" s="64" t="s">
        <v>1092</v>
      </c>
      <c r="H100" s="64" t="s">
        <v>1092</v>
      </c>
      <c r="I100" s="64" t="s">
        <v>1092</v>
      </c>
      <c r="J100" s="62">
        <v>841.2404930612722</v>
      </c>
      <c r="K100" s="62">
        <v>336.4961972245089</v>
      </c>
      <c r="L100" s="62">
        <v>0.0</v>
      </c>
      <c r="M100" s="62">
        <v>0.0</v>
      </c>
      <c r="N100" s="62">
        <v>0.0</v>
      </c>
      <c r="O100" s="62">
        <v>0.0</v>
      </c>
      <c r="P100" s="62">
        <v>0.0</v>
      </c>
      <c r="Q100" s="62">
        <v>0.0</v>
      </c>
      <c r="R100" s="62">
        <v>0.0</v>
      </c>
      <c r="S100" s="62">
        <v>0.0</v>
      </c>
      <c r="T100" s="62">
        <v>504.74429583676334</v>
      </c>
      <c r="U100" s="62">
        <v>757.1164437551449</v>
      </c>
      <c r="V100" s="62">
        <v>504.74429583676334</v>
      </c>
      <c r="W100" s="62">
        <v>420.6202465306361</v>
      </c>
      <c r="X100" s="62">
        <v>0.0</v>
      </c>
      <c r="Y100" s="62">
        <v>0.0</v>
      </c>
      <c r="Z100" s="62">
        <v>0.0</v>
      </c>
      <c r="AA100" s="62">
        <v>0.0</v>
      </c>
    </row>
    <row r="101" ht="22.5" customHeight="1">
      <c r="A101" s="62" t="s">
        <v>116</v>
      </c>
      <c r="B101" s="62" t="s">
        <v>1188</v>
      </c>
      <c r="C101" s="62" t="s">
        <v>1189</v>
      </c>
      <c r="D101" s="62" t="s">
        <v>1163</v>
      </c>
      <c r="E101" s="63">
        <v>14.2735043351</v>
      </c>
      <c r="F101" s="64" t="s">
        <v>1092</v>
      </c>
      <c r="G101" s="64" t="s">
        <v>1092</v>
      </c>
      <c r="H101" s="64" t="s">
        <v>1092</v>
      </c>
      <c r="I101" s="64" t="s">
        <v>1092</v>
      </c>
      <c r="J101" s="62">
        <v>350.2993996859265</v>
      </c>
      <c r="K101" s="62">
        <v>140.1197598743706</v>
      </c>
      <c r="L101" s="62">
        <v>0.0</v>
      </c>
      <c r="M101" s="62">
        <v>0.0</v>
      </c>
      <c r="N101" s="62">
        <v>0.0</v>
      </c>
      <c r="O101" s="62">
        <v>0.0</v>
      </c>
      <c r="P101" s="62">
        <v>0.0</v>
      </c>
      <c r="Q101" s="62">
        <v>0.0</v>
      </c>
      <c r="R101" s="62">
        <v>280.2395197487412</v>
      </c>
      <c r="S101" s="62">
        <v>560.4790394974824</v>
      </c>
      <c r="T101" s="62">
        <v>210.17963981155592</v>
      </c>
      <c r="U101" s="62">
        <v>140.1197598743706</v>
      </c>
      <c r="V101" s="62">
        <v>70.0598799371853</v>
      </c>
      <c r="W101" s="62">
        <v>175.14969984296326</v>
      </c>
      <c r="X101" s="62">
        <v>0.0</v>
      </c>
      <c r="Y101" s="62">
        <v>0.0</v>
      </c>
      <c r="Z101" s="62">
        <v>0.0</v>
      </c>
      <c r="AA101" s="62">
        <v>0.0</v>
      </c>
    </row>
    <row r="102" ht="22.5" customHeight="1">
      <c r="A102" s="62" t="s">
        <v>116</v>
      </c>
      <c r="B102" s="62" t="s">
        <v>1194</v>
      </c>
      <c r="C102" s="62" t="s">
        <v>1195</v>
      </c>
      <c r="D102" s="62" t="s">
        <v>1163</v>
      </c>
      <c r="E102" s="63">
        <v>3.03126572495</v>
      </c>
      <c r="F102" s="64" t="s">
        <v>1092</v>
      </c>
      <c r="G102" s="64" t="s">
        <v>1092</v>
      </c>
      <c r="H102" s="64" t="s">
        <v>1092</v>
      </c>
      <c r="I102" s="64" t="s">
        <v>1092</v>
      </c>
      <c r="J102" s="62">
        <v>1649.4759792404784</v>
      </c>
      <c r="K102" s="62">
        <v>659.7903916961914</v>
      </c>
      <c r="L102" s="62">
        <v>0.0</v>
      </c>
      <c r="M102" s="62">
        <v>0.0</v>
      </c>
      <c r="N102" s="62">
        <v>0.0</v>
      </c>
      <c r="O102" s="62">
        <v>0.0</v>
      </c>
      <c r="P102" s="62">
        <v>0.0</v>
      </c>
      <c r="Q102" s="62">
        <v>0.0</v>
      </c>
      <c r="R102" s="62">
        <v>0.0</v>
      </c>
      <c r="S102" s="62">
        <v>0.0</v>
      </c>
      <c r="T102" s="62">
        <v>0.0</v>
      </c>
      <c r="U102" s="62">
        <v>0.0</v>
      </c>
      <c r="V102" s="62">
        <v>0.0</v>
      </c>
      <c r="W102" s="62">
        <v>0.0</v>
      </c>
      <c r="X102" s="62">
        <v>0.0</v>
      </c>
      <c r="Y102" s="62">
        <v>0.0</v>
      </c>
      <c r="Z102" s="62">
        <v>0.0</v>
      </c>
      <c r="AA102" s="62">
        <v>0.0</v>
      </c>
    </row>
    <row r="103" ht="22.5" customHeight="1">
      <c r="A103" s="62" t="s">
        <v>234</v>
      </c>
      <c r="B103" s="62" t="s">
        <v>1176</v>
      </c>
      <c r="C103" s="62" t="s">
        <v>1177</v>
      </c>
      <c r="D103" s="62" t="s">
        <v>1163</v>
      </c>
      <c r="E103" s="63">
        <v>7.61309912288</v>
      </c>
      <c r="F103" s="64" t="s">
        <v>1092</v>
      </c>
      <c r="G103" s="64" t="s">
        <v>1092</v>
      </c>
      <c r="H103" s="64" t="s">
        <v>1092</v>
      </c>
      <c r="I103" s="64" t="s">
        <v>1092</v>
      </c>
      <c r="J103" s="62">
        <v>0.0</v>
      </c>
      <c r="K103" s="62">
        <v>0.0</v>
      </c>
      <c r="L103" s="62">
        <v>0.0</v>
      </c>
      <c r="M103" s="62">
        <v>0.0</v>
      </c>
      <c r="N103" s="62">
        <v>0.0</v>
      </c>
      <c r="O103" s="62">
        <v>197.02882831145342</v>
      </c>
      <c r="P103" s="62">
        <v>1313.525522076356</v>
      </c>
      <c r="Q103" s="62">
        <v>394.05765662290685</v>
      </c>
      <c r="R103" s="62">
        <v>0.0</v>
      </c>
      <c r="S103" s="62">
        <v>394.05765662290685</v>
      </c>
      <c r="T103" s="62">
        <v>131.3525522076356</v>
      </c>
      <c r="U103" s="62">
        <v>197.02882831145342</v>
      </c>
      <c r="V103" s="62">
        <v>0.0</v>
      </c>
      <c r="W103" s="62">
        <v>0.0</v>
      </c>
      <c r="X103" s="62">
        <v>0.0</v>
      </c>
      <c r="Y103" s="62">
        <v>0.0</v>
      </c>
      <c r="Z103" s="62">
        <v>0.0</v>
      </c>
      <c r="AA103" s="62">
        <v>0.0</v>
      </c>
    </row>
    <row r="104" ht="22.5" customHeight="1">
      <c r="A104" s="62" t="s">
        <v>234</v>
      </c>
      <c r="B104" s="62" t="s">
        <v>1178</v>
      </c>
      <c r="C104" s="62" t="s">
        <v>1179</v>
      </c>
      <c r="D104" s="62" t="s">
        <v>1163</v>
      </c>
      <c r="E104" s="63">
        <v>1.22864749961</v>
      </c>
      <c r="F104" s="64" t="s">
        <v>1092</v>
      </c>
      <c r="G104" s="64" t="s">
        <v>1092</v>
      </c>
      <c r="H104" s="64" t="s">
        <v>1092</v>
      </c>
      <c r="I104" s="64" t="s">
        <v>1092</v>
      </c>
      <c r="J104" s="62">
        <v>0.0</v>
      </c>
      <c r="K104" s="62">
        <v>0.0</v>
      </c>
      <c r="L104" s="62">
        <v>0.0</v>
      </c>
      <c r="M104" s="62">
        <v>0.0</v>
      </c>
      <c r="N104" s="62">
        <v>0.0</v>
      </c>
      <c r="O104" s="62">
        <v>1220.8546393299407</v>
      </c>
      <c r="P104" s="62"/>
      <c r="Q104" s="62">
        <v>2441.7092786598814</v>
      </c>
      <c r="R104" s="62">
        <v>0.0</v>
      </c>
      <c r="S104" s="62">
        <v>813.9030928866271</v>
      </c>
      <c r="T104" s="62">
        <v>406.95154644331353</v>
      </c>
      <c r="U104" s="62">
        <v>162.7806185773254</v>
      </c>
      <c r="V104" s="62">
        <v>0.0</v>
      </c>
      <c r="W104" s="62">
        <v>0.0</v>
      </c>
      <c r="X104" s="62">
        <v>0.0</v>
      </c>
      <c r="Y104" s="62">
        <v>0.0</v>
      </c>
      <c r="Z104" s="62">
        <v>0.0</v>
      </c>
      <c r="AA104" s="62">
        <v>0.0</v>
      </c>
    </row>
    <row r="105" ht="22.5" customHeight="1">
      <c r="A105" s="62" t="s">
        <v>234</v>
      </c>
      <c r="B105" s="62" t="s">
        <v>1180</v>
      </c>
      <c r="C105" s="62" t="s">
        <v>1181</v>
      </c>
      <c r="D105" s="62" t="s">
        <v>1163</v>
      </c>
      <c r="E105" s="63">
        <v>0.793302735532</v>
      </c>
      <c r="F105" s="64" t="s">
        <v>1092</v>
      </c>
      <c r="G105" s="64" t="s">
        <v>1092</v>
      </c>
      <c r="H105" s="64" t="s">
        <v>1092</v>
      </c>
      <c r="I105" s="64" t="s">
        <v>1092</v>
      </c>
      <c r="J105" s="62">
        <v>0.0</v>
      </c>
      <c r="K105" s="62">
        <v>0.0</v>
      </c>
      <c r="L105" s="62">
        <v>0.0</v>
      </c>
      <c r="M105" s="62">
        <v>0.0</v>
      </c>
      <c r="N105" s="62">
        <v>0.0</v>
      </c>
      <c r="O105" s="62">
        <v>1890.8292292652675</v>
      </c>
      <c r="P105" s="62"/>
      <c r="Q105" s="62">
        <v>3781.658458530535</v>
      </c>
      <c r="R105" s="62">
        <v>0.0</v>
      </c>
      <c r="S105" s="62">
        <v>1260.5528195101783</v>
      </c>
      <c r="T105" s="62">
        <v>630.2764097550892</v>
      </c>
      <c r="U105" s="62">
        <v>630.2764097550892</v>
      </c>
      <c r="V105" s="62">
        <v>0.0</v>
      </c>
      <c r="W105" s="62">
        <v>0.0</v>
      </c>
      <c r="X105" s="62">
        <v>0.0</v>
      </c>
      <c r="Y105" s="62">
        <v>0.0</v>
      </c>
      <c r="Z105" s="62">
        <v>0.0</v>
      </c>
      <c r="AA105" s="62">
        <v>0.0</v>
      </c>
    </row>
    <row r="106" ht="22.5" customHeight="1">
      <c r="A106" s="62" t="s">
        <v>234</v>
      </c>
      <c r="B106" s="62" t="s">
        <v>1182</v>
      </c>
      <c r="C106" s="62" t="s">
        <v>1183</v>
      </c>
      <c r="D106" s="62" t="s">
        <v>1163</v>
      </c>
      <c r="E106" s="63">
        <v>8.17206825874</v>
      </c>
      <c r="F106" s="64" t="s">
        <v>1092</v>
      </c>
      <c r="G106" s="64" t="s">
        <v>1092</v>
      </c>
      <c r="H106" s="64" t="s">
        <v>1092</v>
      </c>
      <c r="I106" s="64" t="s">
        <v>1092</v>
      </c>
      <c r="J106" s="62">
        <v>0.0</v>
      </c>
      <c r="K106" s="62">
        <v>0.0</v>
      </c>
      <c r="L106" s="62">
        <v>0.0</v>
      </c>
      <c r="M106" s="62">
        <v>0.0</v>
      </c>
      <c r="N106" s="62">
        <v>0.0</v>
      </c>
      <c r="O106" s="62">
        <v>183.55206448450244</v>
      </c>
      <c r="P106" s="62">
        <v>1223.6804298966829</v>
      </c>
      <c r="Q106" s="62">
        <v>367.1041289690049</v>
      </c>
      <c r="R106" s="62">
        <v>0.0</v>
      </c>
      <c r="S106" s="62">
        <v>367.1041289690049</v>
      </c>
      <c r="T106" s="62">
        <v>122.3680429896683</v>
      </c>
      <c r="U106" s="62">
        <v>122.3680429896683</v>
      </c>
      <c r="V106" s="62">
        <v>0.0</v>
      </c>
      <c r="W106" s="62">
        <v>0.0</v>
      </c>
      <c r="X106" s="62">
        <v>0.0</v>
      </c>
      <c r="Y106" s="62">
        <v>0.0</v>
      </c>
      <c r="Z106" s="62">
        <v>0.0</v>
      </c>
      <c r="AA106" s="62">
        <v>0.0</v>
      </c>
    </row>
    <row r="107" ht="22.5" customHeight="1">
      <c r="A107" s="62" t="s">
        <v>234</v>
      </c>
      <c r="B107" s="62" t="s">
        <v>1184</v>
      </c>
      <c r="C107" s="62" t="s">
        <v>1185</v>
      </c>
      <c r="D107" s="62" t="s">
        <v>1163</v>
      </c>
      <c r="E107" s="63">
        <v>3.28589956444</v>
      </c>
      <c r="F107" s="64" t="s">
        <v>1092</v>
      </c>
      <c r="G107" s="64" t="s">
        <v>1092</v>
      </c>
      <c r="H107" s="64" t="s">
        <v>1092</v>
      </c>
      <c r="I107" s="64" t="s">
        <v>1092</v>
      </c>
      <c r="J107" s="62">
        <v>0.0</v>
      </c>
      <c r="K107" s="62">
        <v>0.0</v>
      </c>
      <c r="L107" s="62">
        <v>0.0</v>
      </c>
      <c r="M107" s="62">
        <v>0.0</v>
      </c>
      <c r="N107" s="62">
        <v>0.0</v>
      </c>
      <c r="O107" s="62">
        <v>456.49599769664223</v>
      </c>
      <c r="P107" s="62">
        <v>3043.306651310948</v>
      </c>
      <c r="Q107" s="62">
        <v>912.9919953932845</v>
      </c>
      <c r="R107" s="62">
        <v>0.0</v>
      </c>
      <c r="S107" s="62">
        <v>0.0</v>
      </c>
      <c r="T107" s="62">
        <v>304.3306651310948</v>
      </c>
      <c r="U107" s="62">
        <v>608.6613302621896</v>
      </c>
      <c r="V107" s="62">
        <v>0.0</v>
      </c>
      <c r="W107" s="62">
        <v>0.0</v>
      </c>
      <c r="X107" s="62">
        <v>0.0</v>
      </c>
      <c r="Y107" s="62">
        <v>0.0</v>
      </c>
      <c r="Z107" s="62">
        <v>0.0</v>
      </c>
      <c r="AA107" s="62">
        <v>0.0</v>
      </c>
    </row>
    <row r="108" ht="22.5" customHeight="1">
      <c r="A108" s="62" t="s">
        <v>234</v>
      </c>
      <c r="B108" s="62" t="s">
        <v>1186</v>
      </c>
      <c r="C108" s="62" t="s">
        <v>1187</v>
      </c>
      <c r="D108" s="62" t="s">
        <v>1163</v>
      </c>
      <c r="E108" s="63">
        <v>4.25885600318</v>
      </c>
      <c r="F108" s="64" t="s">
        <v>1092</v>
      </c>
      <c r="G108" s="64" t="s">
        <v>1092</v>
      </c>
      <c r="H108" s="64" t="s">
        <v>1092</v>
      </c>
      <c r="I108" s="64" t="s">
        <v>1092</v>
      </c>
      <c r="J108" s="62">
        <v>0.0</v>
      </c>
      <c r="K108" s="62">
        <v>0.0</v>
      </c>
      <c r="L108" s="62">
        <v>0.0</v>
      </c>
      <c r="M108" s="62">
        <v>0.0</v>
      </c>
      <c r="N108" s="62">
        <v>0.0</v>
      </c>
      <c r="O108" s="62">
        <v>352.20725915127935</v>
      </c>
      <c r="P108" s="62">
        <v>2348.048394341862</v>
      </c>
      <c r="Q108" s="62">
        <v>704.4145183025587</v>
      </c>
      <c r="R108" s="62">
        <v>0.0</v>
      </c>
      <c r="S108" s="62">
        <v>0.0</v>
      </c>
      <c r="T108" s="62">
        <v>234.80483943418622</v>
      </c>
      <c r="U108" s="62">
        <v>0.0</v>
      </c>
      <c r="V108" s="62">
        <v>0.0</v>
      </c>
      <c r="W108" s="62">
        <v>0.0</v>
      </c>
      <c r="X108" s="62">
        <v>0.0</v>
      </c>
      <c r="Y108" s="62">
        <v>0.0</v>
      </c>
      <c r="Z108" s="62">
        <v>0.0</v>
      </c>
      <c r="AA108" s="62">
        <v>0.0</v>
      </c>
    </row>
    <row r="109" ht="22.5" customHeight="1">
      <c r="A109" s="62" t="s">
        <v>246</v>
      </c>
      <c r="B109" s="62" t="s">
        <v>1161</v>
      </c>
      <c r="C109" s="62" t="s">
        <v>1162</v>
      </c>
      <c r="D109" s="62" t="s">
        <v>1163</v>
      </c>
      <c r="E109" s="63">
        <v>15.9623321182</v>
      </c>
      <c r="F109" s="64" t="s">
        <v>1092</v>
      </c>
      <c r="G109" s="64" t="s">
        <v>1092</v>
      </c>
      <c r="H109" s="64" t="s">
        <v>1092</v>
      </c>
      <c r="I109" s="64" t="s">
        <v>1092</v>
      </c>
      <c r="J109" s="62">
        <v>0.0</v>
      </c>
      <c r="K109" s="62">
        <v>0.0</v>
      </c>
      <c r="L109" s="62">
        <v>0.0</v>
      </c>
      <c r="M109" s="62">
        <v>0.0</v>
      </c>
      <c r="N109" s="62">
        <v>0.0</v>
      </c>
      <c r="O109" s="62">
        <v>0.0</v>
      </c>
      <c r="P109" s="62">
        <v>0.0</v>
      </c>
      <c r="Q109" s="62">
        <v>0.0</v>
      </c>
      <c r="R109" s="62">
        <v>0.0</v>
      </c>
      <c r="S109" s="62">
        <v>62.64748738436633</v>
      </c>
      <c r="T109" s="62">
        <v>0.0</v>
      </c>
      <c r="U109" s="62">
        <v>125.29497476873266</v>
      </c>
      <c r="V109" s="62">
        <v>0.0</v>
      </c>
      <c r="W109" s="62">
        <v>0.0</v>
      </c>
      <c r="X109" s="62">
        <v>0.0</v>
      </c>
      <c r="Y109" s="62">
        <v>0.0</v>
      </c>
      <c r="Z109" s="62">
        <v>0.0</v>
      </c>
      <c r="AA109" s="62">
        <v>0.0</v>
      </c>
    </row>
    <row r="110" ht="22.5" customHeight="1">
      <c r="A110" s="62" t="s">
        <v>246</v>
      </c>
      <c r="B110" s="62" t="s">
        <v>1137</v>
      </c>
      <c r="C110" s="62" t="s">
        <v>1138</v>
      </c>
      <c r="D110" s="62">
        <v>2026.0</v>
      </c>
      <c r="E110" s="63">
        <v>11.7990407647</v>
      </c>
      <c r="F110" s="64" t="s">
        <v>1092</v>
      </c>
      <c r="G110" s="64" t="s">
        <v>1092</v>
      </c>
      <c r="H110" s="64" t="s">
        <v>1092</v>
      </c>
      <c r="I110" s="64" t="s">
        <v>1092</v>
      </c>
      <c r="J110" s="62">
        <v>0.0</v>
      </c>
      <c r="K110" s="62">
        <v>0.0</v>
      </c>
      <c r="L110" s="62">
        <v>0.0</v>
      </c>
      <c r="M110" s="62">
        <v>0.0</v>
      </c>
      <c r="N110" s="62">
        <v>0.0</v>
      </c>
      <c r="O110" s="62">
        <v>0.0</v>
      </c>
      <c r="P110" s="62">
        <v>0.0</v>
      </c>
      <c r="Q110" s="62">
        <v>0.0</v>
      </c>
      <c r="R110" s="62">
        <v>0.0</v>
      </c>
      <c r="S110" s="62">
        <v>0.0</v>
      </c>
      <c r="T110" s="62">
        <v>0.0</v>
      </c>
      <c r="U110" s="62">
        <v>0.0</v>
      </c>
      <c r="V110" s="62">
        <v>254.2579570515008</v>
      </c>
      <c r="W110" s="62">
        <v>423.76326175250136</v>
      </c>
      <c r="X110" s="62">
        <v>508.5159141030016</v>
      </c>
      <c r="Y110" s="62">
        <v>254.2579570515008</v>
      </c>
      <c r="Z110" s="62">
        <v>0.0</v>
      </c>
      <c r="AA110" s="62">
        <v>0.0</v>
      </c>
    </row>
    <row r="111" ht="22.5" customHeight="1">
      <c r="A111" s="62" t="s">
        <v>246</v>
      </c>
      <c r="B111" s="62" t="s">
        <v>1166</v>
      </c>
      <c r="C111" s="62" t="s">
        <v>1167</v>
      </c>
      <c r="D111" s="62" t="s">
        <v>1163</v>
      </c>
      <c r="E111" s="63">
        <v>27.4170248389</v>
      </c>
      <c r="F111" s="64" t="s">
        <v>1092</v>
      </c>
      <c r="G111" s="64" t="s">
        <v>1092</v>
      </c>
      <c r="H111" s="64" t="s">
        <v>1092</v>
      </c>
      <c r="I111" s="64" t="s">
        <v>1092</v>
      </c>
      <c r="J111" s="62">
        <v>0.0</v>
      </c>
      <c r="K111" s="62">
        <v>0.0</v>
      </c>
      <c r="L111" s="62">
        <v>0.0</v>
      </c>
      <c r="M111" s="62">
        <v>0.0</v>
      </c>
      <c r="N111" s="62">
        <v>0.0</v>
      </c>
      <c r="O111" s="62">
        <v>0.0</v>
      </c>
      <c r="P111" s="62">
        <v>0.0</v>
      </c>
      <c r="Q111" s="62">
        <v>0.0</v>
      </c>
      <c r="R111" s="62">
        <v>0.0</v>
      </c>
      <c r="S111" s="62">
        <v>72.9473752805719</v>
      </c>
      <c r="T111" s="62">
        <v>0.0</v>
      </c>
      <c r="U111" s="62">
        <v>0.0</v>
      </c>
      <c r="V111" s="62">
        <v>0.0</v>
      </c>
      <c r="W111" s="62">
        <v>0.0</v>
      </c>
      <c r="X111" s="62">
        <v>0.0</v>
      </c>
      <c r="Y111" s="62">
        <v>0.0</v>
      </c>
      <c r="Z111" s="62">
        <v>0.0</v>
      </c>
      <c r="AA111" s="62">
        <v>0.0</v>
      </c>
    </row>
    <row r="112" ht="22.5" customHeight="1">
      <c r="A112" s="62" t="s">
        <v>246</v>
      </c>
      <c r="B112" s="62" t="s">
        <v>1111</v>
      </c>
      <c r="C112" s="62" t="s">
        <v>1112</v>
      </c>
      <c r="D112" s="62">
        <v>2023.0</v>
      </c>
      <c r="E112" s="63">
        <v>8.68807045352</v>
      </c>
      <c r="F112" s="64" t="s">
        <v>1092</v>
      </c>
      <c r="G112" s="64" t="s">
        <v>1092</v>
      </c>
      <c r="H112" s="64" t="s">
        <v>1092</v>
      </c>
      <c r="I112" s="64" t="s">
        <v>1092</v>
      </c>
      <c r="J112" s="62">
        <v>0.0</v>
      </c>
      <c r="K112" s="62">
        <v>0.0</v>
      </c>
      <c r="L112" s="62">
        <v>0.0</v>
      </c>
      <c r="M112" s="62">
        <v>0.0</v>
      </c>
      <c r="N112" s="62">
        <v>0.0</v>
      </c>
      <c r="O112" s="62">
        <v>0.0</v>
      </c>
      <c r="P112" s="62">
        <v>0.0</v>
      </c>
      <c r="Q112" s="62">
        <v>0.0</v>
      </c>
      <c r="R112" s="62">
        <v>0.0</v>
      </c>
      <c r="S112" s="62">
        <v>0.0</v>
      </c>
      <c r="T112" s="62">
        <v>0.0</v>
      </c>
      <c r="U112" s="62">
        <v>0.0</v>
      </c>
      <c r="V112" s="62">
        <v>0.0</v>
      </c>
      <c r="W112" s="62">
        <v>0.0</v>
      </c>
      <c r="X112" s="62">
        <v>0.0</v>
      </c>
      <c r="Y112" s="62">
        <v>0.0</v>
      </c>
      <c r="Z112" s="62">
        <v>0.0</v>
      </c>
      <c r="AA112" s="62">
        <v>230.20071150432412</v>
      </c>
    </row>
    <row r="113" ht="22.5" customHeight="1">
      <c r="A113" s="65"/>
      <c r="B113" s="65"/>
      <c r="C113" s="65"/>
      <c r="D113" s="66">
        <f>SUM(Table1[GEPLANT])</f>
        <v>72868</v>
      </c>
      <c r="E113" s="67">
        <f>SUM(Table1[HEKTAAR])</f>
        <v>1049.350267</v>
      </c>
      <c r="F113" s="65"/>
      <c r="G113" s="65"/>
      <c r="H113" s="65"/>
      <c r="I113" s="68">
        <f>SUM(Table1[2007_WERKLIK])</f>
        <v>0</v>
      </c>
      <c r="J113" s="65">
        <f>AVERAGEIF(Table1[2008_WERKLIK], "&gt;0")</f>
        <v>464.4338618</v>
      </c>
      <c r="K113" s="65">
        <f>AVERAGEIF(Table1[2009_WERKLIK], "&gt;0")</f>
        <v>244.038947</v>
      </c>
      <c r="L113" s="65">
        <f>AVERAGEIF(Table1[2010_WERKLIK], "&gt;0")</f>
        <v>497.2337804</v>
      </c>
      <c r="M113" s="65">
        <f>AVERAGEIF(Table1[2011_WERKLIK], "&gt;0")</f>
        <v>443.9023521</v>
      </c>
      <c r="N113" s="65">
        <f>AVERAGEIF(Table1[2012_WERKLIK], "&gt;0")</f>
        <v>368.7588513</v>
      </c>
      <c r="O113" s="65">
        <f>AVERAGEIF(Table1[2013_WERKLIK], "&gt;0")</f>
        <v>410.3967216</v>
      </c>
      <c r="P113" s="65">
        <f>AVERAGEIF(Table1[2014_WERKLIK], "&gt;0")</f>
        <v>567.7691207</v>
      </c>
      <c r="Q113" s="65">
        <f>AVERAGEIF(Table1[2015_WERKLIK], "&gt;0")</f>
        <v>651.6980153</v>
      </c>
      <c r="R113" s="65">
        <f>AVERAGEIF(Table1[2016_WERKLIK], "&gt;0")</f>
        <v>448.004042</v>
      </c>
      <c r="S113" s="65">
        <f>AVERAGEIF(Table1[2017_WERKLIK], "&gt;0")</f>
        <v>499.1844524</v>
      </c>
      <c r="T113" s="65">
        <f>AVERAGEIF(Table1[2018_WERKLIK], "&gt;0")</f>
        <v>301.9569892</v>
      </c>
      <c r="U113" s="65">
        <f>AVERAGEIF(Table1[2019_WERKLIK], "&gt;0")</f>
        <v>276.8788153</v>
      </c>
      <c r="V113" s="65">
        <f>AVERAGEIF(Table1[2020_WERKLIK], "&gt;0")</f>
        <v>236.0669748</v>
      </c>
      <c r="W113" s="65">
        <f>AVERAGEIF(Table1[2021_WERKLIK], "&gt;0")</f>
        <v>391.9537346</v>
      </c>
      <c r="X113" s="65">
        <f>AVERAGEIF(Table1[2022_WERKLIK], "&gt;0")</f>
        <v>365.9729091</v>
      </c>
      <c r="Y113" s="65">
        <f>AVERAGEIF(Table1[2023_WERKLIK], "&gt;0")</f>
        <v>263.2323509</v>
      </c>
      <c r="Z113" s="65">
        <f>AVERAGEIF(Table1[2024_WERKLIK], "&gt;0")</f>
        <v>364.555195</v>
      </c>
      <c r="AA113" s="65">
        <f>AVERAGEIF(Table1[25_WERKLIK], "&gt;0")</f>
        <v>406.1054857</v>
      </c>
    </row>
    <row r="114">
      <c r="A114" s="57"/>
      <c r="B114" s="57"/>
      <c r="C114" s="57"/>
      <c r="D114" s="57"/>
      <c r="E114" s="58"/>
      <c r="I114" s="59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57"/>
      <c r="B115" s="57"/>
      <c r="C115" s="57"/>
      <c r="D115" s="57"/>
      <c r="E115" s="58"/>
      <c r="I115" s="59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57"/>
      <c r="B116" s="57"/>
      <c r="C116" s="57"/>
      <c r="D116" s="57"/>
      <c r="E116" s="58"/>
      <c r="I116" s="59"/>
      <c r="J116" s="57"/>
      <c r="K116" s="57"/>
      <c r="L116" s="57"/>
      <c r="M116" s="57"/>
      <c r="N116" s="57"/>
      <c r="O116" s="57">
        <f>O107*35</f>
        <v>15977.35992</v>
      </c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57"/>
      <c r="B117" s="57"/>
      <c r="C117" s="57"/>
      <c r="D117" s="57"/>
      <c r="E117" s="58"/>
      <c r="I117" s="59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57"/>
      <c r="B118" s="57"/>
      <c r="C118" s="57"/>
      <c r="D118" s="57"/>
      <c r="E118" s="58"/>
      <c r="I118" s="59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57"/>
      <c r="B119" s="57"/>
      <c r="C119" s="57"/>
      <c r="D119" s="57"/>
      <c r="E119" s="58"/>
      <c r="I119" s="59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57"/>
      <c r="B120" s="57"/>
      <c r="C120" s="57"/>
      <c r="D120" s="57"/>
      <c r="E120" s="58"/>
      <c r="I120" s="59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57"/>
      <c r="B121" s="57"/>
      <c r="C121" s="57"/>
      <c r="D121" s="57"/>
      <c r="E121" s="58"/>
      <c r="I121" s="59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57"/>
      <c r="B122" s="57"/>
      <c r="C122" s="57"/>
      <c r="D122" s="57"/>
      <c r="E122" s="58"/>
      <c r="I122" s="59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57"/>
      <c r="B123" s="57"/>
      <c r="C123" s="57"/>
      <c r="D123" s="57"/>
      <c r="E123" s="58"/>
      <c r="I123" s="59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57"/>
      <c r="B124" s="57"/>
      <c r="C124" s="57"/>
      <c r="D124" s="57"/>
      <c r="E124" s="58"/>
      <c r="I124" s="59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57"/>
      <c r="B125" s="57"/>
      <c r="C125" s="57"/>
      <c r="D125" s="57"/>
      <c r="E125" s="58"/>
      <c r="I125" s="59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57"/>
      <c r="B126" s="57"/>
      <c r="C126" s="57"/>
      <c r="D126" s="57"/>
      <c r="E126" s="58"/>
      <c r="I126" s="59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57"/>
      <c r="B127" s="57"/>
      <c r="C127" s="57"/>
      <c r="D127" s="57"/>
      <c r="E127" s="58"/>
      <c r="I127" s="59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57"/>
      <c r="B128" s="57"/>
      <c r="C128" s="57"/>
      <c r="D128" s="57"/>
      <c r="E128" s="58"/>
      <c r="I128" s="59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57"/>
      <c r="B129" s="57"/>
      <c r="C129" s="57"/>
      <c r="D129" s="57"/>
      <c r="E129" s="58"/>
      <c r="I129" s="59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57"/>
      <c r="B130" s="57"/>
      <c r="C130" s="57"/>
      <c r="D130" s="57"/>
      <c r="E130" s="58"/>
      <c r="I130" s="59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57"/>
      <c r="B131" s="57"/>
      <c r="C131" s="57"/>
      <c r="D131" s="57"/>
      <c r="E131" s="58"/>
      <c r="I131" s="59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57"/>
      <c r="B132" s="57"/>
      <c r="C132" s="57"/>
      <c r="D132" s="57"/>
      <c r="E132" s="58"/>
      <c r="I132" s="59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57"/>
      <c r="B133" s="57"/>
      <c r="C133" s="57"/>
      <c r="D133" s="57"/>
      <c r="E133" s="58"/>
      <c r="I133" s="59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57"/>
      <c r="B134" s="57"/>
      <c r="C134" s="57"/>
      <c r="D134" s="57"/>
      <c r="E134" s="58"/>
      <c r="I134" s="59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57"/>
      <c r="B135" s="57"/>
      <c r="C135" s="57"/>
      <c r="D135" s="57"/>
      <c r="E135" s="58"/>
      <c r="I135" s="59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57"/>
      <c r="B136" s="57"/>
      <c r="C136" s="57"/>
      <c r="D136" s="57"/>
      <c r="E136" s="58"/>
      <c r="I136" s="59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57"/>
      <c r="B137" s="57"/>
      <c r="C137" s="57"/>
      <c r="D137" s="57"/>
      <c r="E137" s="58"/>
      <c r="I137" s="59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57"/>
      <c r="B138" s="57"/>
      <c r="C138" s="57"/>
      <c r="D138" s="57"/>
      <c r="E138" s="58"/>
      <c r="I138" s="59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57"/>
      <c r="B139" s="57"/>
      <c r="C139" s="57"/>
      <c r="D139" s="57"/>
      <c r="E139" s="58"/>
      <c r="I139" s="59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57"/>
      <c r="B140" s="57"/>
      <c r="C140" s="57"/>
      <c r="D140" s="57"/>
      <c r="E140" s="58"/>
      <c r="I140" s="59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57"/>
      <c r="B141" s="57"/>
      <c r="C141" s="57"/>
      <c r="D141" s="57"/>
      <c r="E141" s="58"/>
      <c r="I141" s="59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57"/>
      <c r="B142" s="57"/>
      <c r="C142" s="57"/>
      <c r="D142" s="57"/>
      <c r="E142" s="58"/>
      <c r="I142" s="59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57"/>
      <c r="B143" s="57"/>
      <c r="C143" s="57"/>
      <c r="D143" s="57"/>
      <c r="E143" s="58"/>
      <c r="I143" s="59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57"/>
      <c r="B144" s="57"/>
      <c r="C144" s="57"/>
      <c r="D144" s="57"/>
      <c r="E144" s="58"/>
      <c r="I144" s="59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57"/>
      <c r="B145" s="57"/>
      <c r="C145" s="57"/>
      <c r="D145" s="57"/>
      <c r="E145" s="58"/>
      <c r="I145" s="59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57"/>
      <c r="B146" s="57"/>
      <c r="C146" s="57"/>
      <c r="D146" s="57"/>
      <c r="E146" s="58"/>
      <c r="I146" s="59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57"/>
      <c r="B147" s="57"/>
      <c r="C147" s="57"/>
      <c r="D147" s="57"/>
      <c r="E147" s="58"/>
      <c r="I147" s="59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57"/>
      <c r="B148" s="57"/>
      <c r="C148" s="57"/>
      <c r="D148" s="57"/>
      <c r="E148" s="58"/>
      <c r="I148" s="59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57"/>
      <c r="B149" s="57"/>
      <c r="C149" s="57"/>
      <c r="D149" s="57"/>
      <c r="E149" s="58"/>
      <c r="I149" s="59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57"/>
      <c r="B150" s="57"/>
      <c r="C150" s="57"/>
      <c r="D150" s="57"/>
      <c r="E150" s="58"/>
      <c r="I150" s="59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57"/>
      <c r="B151" s="57"/>
      <c r="C151" s="57"/>
      <c r="D151" s="57"/>
      <c r="E151" s="58"/>
      <c r="I151" s="59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57"/>
      <c r="B152" s="57"/>
      <c r="C152" s="57"/>
      <c r="D152" s="57"/>
      <c r="E152" s="58"/>
      <c r="I152" s="59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57"/>
      <c r="B153" s="57"/>
      <c r="C153" s="57"/>
      <c r="D153" s="57"/>
      <c r="E153" s="58"/>
      <c r="I153" s="59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57"/>
      <c r="B154" s="57"/>
      <c r="C154" s="57"/>
      <c r="D154" s="57"/>
      <c r="E154" s="58"/>
      <c r="I154" s="59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57"/>
      <c r="B155" s="57"/>
      <c r="C155" s="57"/>
      <c r="D155" s="57"/>
      <c r="E155" s="58"/>
      <c r="I155" s="59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57"/>
      <c r="B156" s="57"/>
      <c r="C156" s="57"/>
      <c r="D156" s="57"/>
      <c r="E156" s="58"/>
      <c r="I156" s="59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57"/>
      <c r="B157" s="57"/>
      <c r="C157" s="57"/>
      <c r="D157" s="57"/>
      <c r="E157" s="58"/>
      <c r="I157" s="59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57"/>
      <c r="B158" s="57"/>
      <c r="C158" s="57"/>
      <c r="D158" s="57"/>
      <c r="E158" s="58"/>
      <c r="I158" s="59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57"/>
      <c r="B159" s="57"/>
      <c r="C159" s="57"/>
      <c r="D159" s="57"/>
      <c r="E159" s="58"/>
      <c r="I159" s="59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57"/>
      <c r="B160" s="57"/>
      <c r="C160" s="57"/>
      <c r="D160" s="57"/>
      <c r="E160" s="58"/>
      <c r="I160" s="59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57"/>
      <c r="B161" s="57"/>
      <c r="C161" s="57"/>
      <c r="D161" s="57"/>
      <c r="E161" s="58"/>
      <c r="I161" s="59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57"/>
      <c r="B162" s="57"/>
      <c r="C162" s="57"/>
      <c r="D162" s="57"/>
      <c r="E162" s="58"/>
      <c r="I162" s="59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57"/>
      <c r="B163" s="57"/>
      <c r="C163" s="57"/>
      <c r="D163" s="57"/>
      <c r="E163" s="58"/>
      <c r="I163" s="59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57"/>
      <c r="B164" s="57"/>
      <c r="C164" s="57"/>
      <c r="D164" s="57"/>
      <c r="E164" s="58"/>
      <c r="I164" s="59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57"/>
      <c r="B165" s="57"/>
      <c r="C165" s="57"/>
      <c r="D165" s="57"/>
      <c r="E165" s="58"/>
      <c r="I165" s="59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57"/>
      <c r="B166" s="57"/>
      <c r="C166" s="57"/>
      <c r="D166" s="57"/>
      <c r="E166" s="58"/>
      <c r="I166" s="59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57"/>
      <c r="B167" s="57"/>
      <c r="C167" s="57"/>
      <c r="D167" s="57"/>
      <c r="E167" s="58"/>
      <c r="I167" s="59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57"/>
      <c r="B168" s="57"/>
      <c r="C168" s="57"/>
      <c r="D168" s="57"/>
      <c r="E168" s="58"/>
      <c r="I168" s="59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57"/>
      <c r="B169" s="57"/>
      <c r="C169" s="57"/>
      <c r="D169" s="57"/>
      <c r="E169" s="58"/>
      <c r="I169" s="59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57"/>
      <c r="B170" s="57"/>
      <c r="C170" s="57"/>
      <c r="D170" s="57"/>
      <c r="E170" s="58"/>
      <c r="I170" s="59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57"/>
      <c r="B171" s="57"/>
      <c r="C171" s="57"/>
      <c r="D171" s="57"/>
      <c r="E171" s="58"/>
      <c r="I171" s="59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57"/>
      <c r="B172" s="57"/>
      <c r="C172" s="57"/>
      <c r="D172" s="57"/>
      <c r="E172" s="58"/>
      <c r="I172" s="59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57"/>
      <c r="B173" s="57"/>
      <c r="C173" s="57"/>
      <c r="D173" s="57"/>
      <c r="E173" s="58"/>
      <c r="I173" s="59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57"/>
      <c r="B174" s="57"/>
      <c r="C174" s="57"/>
      <c r="D174" s="57"/>
      <c r="E174" s="58"/>
      <c r="I174" s="59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57"/>
      <c r="B175" s="57"/>
      <c r="C175" s="57"/>
      <c r="D175" s="57"/>
      <c r="E175" s="58"/>
      <c r="I175" s="59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57"/>
      <c r="B176" s="57"/>
      <c r="C176" s="57"/>
      <c r="D176" s="57"/>
      <c r="E176" s="58"/>
      <c r="I176" s="59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57"/>
      <c r="B177" s="57"/>
      <c r="C177" s="57"/>
      <c r="D177" s="57"/>
      <c r="E177" s="58"/>
      <c r="I177" s="59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57"/>
      <c r="B178" s="57"/>
      <c r="C178" s="57"/>
      <c r="D178" s="57"/>
      <c r="E178" s="58"/>
      <c r="I178" s="59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57"/>
      <c r="B179" s="57"/>
      <c r="C179" s="57"/>
      <c r="D179" s="57"/>
      <c r="E179" s="58"/>
      <c r="I179" s="59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57"/>
      <c r="B180" s="57"/>
      <c r="C180" s="57"/>
      <c r="D180" s="57"/>
      <c r="E180" s="58"/>
      <c r="I180" s="59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57"/>
      <c r="B181" s="57"/>
      <c r="C181" s="57"/>
      <c r="D181" s="57"/>
      <c r="E181" s="58"/>
      <c r="I181" s="59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57"/>
      <c r="B182" s="57"/>
      <c r="C182" s="57"/>
      <c r="D182" s="57"/>
      <c r="E182" s="58"/>
      <c r="I182" s="59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57"/>
      <c r="B183" s="57"/>
      <c r="C183" s="57"/>
      <c r="D183" s="57"/>
      <c r="E183" s="58"/>
      <c r="I183" s="59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57"/>
      <c r="B184" s="57"/>
      <c r="C184" s="57"/>
      <c r="D184" s="57"/>
      <c r="E184" s="58"/>
      <c r="I184" s="59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57"/>
      <c r="B185" s="57"/>
      <c r="C185" s="57"/>
      <c r="D185" s="57"/>
      <c r="E185" s="58"/>
      <c r="I185" s="59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57"/>
      <c r="B186" s="57"/>
      <c r="C186" s="57"/>
      <c r="D186" s="57"/>
      <c r="E186" s="58"/>
      <c r="I186" s="59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57"/>
      <c r="B187" s="57"/>
      <c r="C187" s="57"/>
      <c r="D187" s="57"/>
      <c r="E187" s="58"/>
      <c r="I187" s="59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57"/>
      <c r="B188" s="57"/>
      <c r="C188" s="57"/>
      <c r="D188" s="57"/>
      <c r="E188" s="58"/>
      <c r="I188" s="59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57"/>
      <c r="B189" s="57"/>
      <c r="C189" s="57"/>
      <c r="D189" s="57"/>
      <c r="E189" s="58"/>
      <c r="I189" s="59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57"/>
      <c r="B190" s="57"/>
      <c r="C190" s="57"/>
      <c r="D190" s="57"/>
      <c r="E190" s="58"/>
      <c r="I190" s="59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57"/>
      <c r="B191" s="57"/>
      <c r="C191" s="57"/>
      <c r="D191" s="57"/>
      <c r="E191" s="58"/>
      <c r="I191" s="59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57"/>
      <c r="B192" s="57"/>
      <c r="C192" s="57"/>
      <c r="D192" s="57"/>
      <c r="E192" s="58"/>
      <c r="I192" s="59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57"/>
      <c r="B193" s="57"/>
      <c r="C193" s="57"/>
      <c r="D193" s="57"/>
      <c r="E193" s="58"/>
      <c r="I193" s="59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57"/>
      <c r="B194" s="57"/>
      <c r="C194" s="57"/>
      <c r="D194" s="57"/>
      <c r="E194" s="58"/>
      <c r="I194" s="59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57"/>
      <c r="B195" s="57"/>
      <c r="C195" s="57"/>
      <c r="D195" s="57"/>
      <c r="E195" s="58"/>
      <c r="I195" s="59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57"/>
      <c r="B196" s="57"/>
      <c r="C196" s="57"/>
      <c r="D196" s="57"/>
      <c r="E196" s="58"/>
      <c r="I196" s="59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57"/>
      <c r="B197" s="57"/>
      <c r="C197" s="57"/>
      <c r="D197" s="57"/>
      <c r="E197" s="58"/>
      <c r="I197" s="59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57"/>
      <c r="B198" s="57"/>
      <c r="C198" s="57"/>
      <c r="D198" s="57"/>
      <c r="E198" s="58"/>
      <c r="I198" s="59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57"/>
      <c r="B199" s="57"/>
      <c r="C199" s="57"/>
      <c r="D199" s="57"/>
      <c r="E199" s="58"/>
      <c r="I199" s="59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57"/>
      <c r="B200" s="57"/>
      <c r="C200" s="57"/>
      <c r="D200" s="57"/>
      <c r="E200" s="58"/>
      <c r="I200" s="59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57"/>
      <c r="B201" s="57"/>
      <c r="C201" s="57"/>
      <c r="D201" s="57"/>
      <c r="E201" s="58"/>
      <c r="I201" s="59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57"/>
      <c r="B202" s="57"/>
      <c r="C202" s="57"/>
      <c r="D202" s="57"/>
      <c r="E202" s="58"/>
      <c r="I202" s="59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57"/>
      <c r="B203" s="57"/>
      <c r="C203" s="57"/>
      <c r="D203" s="57"/>
      <c r="E203" s="58"/>
      <c r="I203" s="59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57"/>
      <c r="B204" s="57"/>
      <c r="C204" s="57"/>
      <c r="D204" s="57"/>
      <c r="E204" s="58"/>
      <c r="I204" s="59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57"/>
      <c r="B205" s="57"/>
      <c r="C205" s="57"/>
      <c r="D205" s="57"/>
      <c r="E205" s="58"/>
      <c r="I205" s="59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57"/>
      <c r="B206" s="57"/>
      <c r="C206" s="57"/>
      <c r="D206" s="57"/>
      <c r="E206" s="58"/>
      <c r="I206" s="59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57"/>
      <c r="B207" s="57"/>
      <c r="C207" s="57"/>
      <c r="D207" s="57"/>
      <c r="E207" s="58"/>
      <c r="I207" s="59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57"/>
      <c r="B208" s="57"/>
      <c r="C208" s="57"/>
      <c r="D208" s="57"/>
      <c r="E208" s="58"/>
      <c r="I208" s="59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57"/>
      <c r="B209" s="57"/>
      <c r="C209" s="57"/>
      <c r="D209" s="57"/>
      <c r="E209" s="58"/>
      <c r="I209" s="59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57"/>
      <c r="B210" s="57"/>
      <c r="C210" s="57"/>
      <c r="D210" s="57"/>
      <c r="E210" s="58"/>
      <c r="I210" s="59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57"/>
      <c r="B211" s="57"/>
      <c r="C211" s="57"/>
      <c r="D211" s="57"/>
      <c r="E211" s="58"/>
      <c r="I211" s="59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57"/>
      <c r="B212" s="57"/>
      <c r="C212" s="57"/>
      <c r="D212" s="57"/>
      <c r="E212" s="58"/>
      <c r="I212" s="59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57"/>
      <c r="B213" s="57"/>
      <c r="C213" s="57"/>
      <c r="D213" s="57"/>
      <c r="E213" s="58"/>
      <c r="I213" s="59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57"/>
      <c r="B214" s="57"/>
      <c r="C214" s="57"/>
      <c r="D214" s="57"/>
      <c r="E214" s="58"/>
      <c r="I214" s="59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57"/>
      <c r="B215" s="57"/>
      <c r="C215" s="57"/>
      <c r="D215" s="57"/>
      <c r="E215" s="58"/>
      <c r="I215" s="59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57"/>
      <c r="B216" s="57"/>
      <c r="C216" s="57"/>
      <c r="D216" s="57"/>
      <c r="E216" s="58"/>
      <c r="I216" s="59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57"/>
      <c r="B217" s="57"/>
      <c r="C217" s="57"/>
      <c r="D217" s="57"/>
      <c r="E217" s="58"/>
      <c r="I217" s="59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57"/>
      <c r="B218" s="57"/>
      <c r="C218" s="57"/>
      <c r="D218" s="57"/>
      <c r="E218" s="58"/>
      <c r="I218" s="59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57"/>
      <c r="B219" s="57"/>
      <c r="C219" s="57"/>
      <c r="D219" s="57"/>
      <c r="E219" s="58"/>
      <c r="I219" s="59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57"/>
      <c r="B220" s="57"/>
      <c r="C220" s="57"/>
      <c r="D220" s="57"/>
      <c r="E220" s="58"/>
      <c r="I220" s="59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57"/>
      <c r="B221" s="57"/>
      <c r="C221" s="57"/>
      <c r="D221" s="57"/>
      <c r="E221" s="58"/>
      <c r="I221" s="59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57"/>
      <c r="B222" s="57"/>
      <c r="C222" s="57"/>
      <c r="D222" s="57"/>
      <c r="E222" s="58"/>
      <c r="I222" s="59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57"/>
      <c r="B223" s="57"/>
      <c r="C223" s="57"/>
      <c r="D223" s="57"/>
      <c r="E223" s="58"/>
      <c r="I223" s="59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57"/>
      <c r="B224" s="57"/>
      <c r="C224" s="57"/>
      <c r="D224" s="57"/>
      <c r="E224" s="58"/>
      <c r="I224" s="59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57"/>
      <c r="B225" s="57"/>
      <c r="C225" s="57"/>
      <c r="D225" s="57"/>
      <c r="E225" s="58"/>
      <c r="I225" s="59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57"/>
      <c r="B226" s="57"/>
      <c r="C226" s="57"/>
      <c r="D226" s="57"/>
      <c r="E226" s="58"/>
      <c r="I226" s="59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57"/>
      <c r="B227" s="57"/>
      <c r="C227" s="57"/>
      <c r="D227" s="57"/>
      <c r="E227" s="58"/>
      <c r="I227" s="59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57"/>
      <c r="B228" s="57"/>
      <c r="C228" s="57"/>
      <c r="D228" s="57"/>
      <c r="E228" s="58"/>
      <c r="I228" s="59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57"/>
      <c r="B229" s="57"/>
      <c r="C229" s="57"/>
      <c r="D229" s="57"/>
      <c r="E229" s="58"/>
      <c r="I229" s="59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57"/>
      <c r="B230" s="57"/>
      <c r="C230" s="57"/>
      <c r="D230" s="57"/>
      <c r="E230" s="58"/>
      <c r="I230" s="59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57"/>
      <c r="B231" s="57"/>
      <c r="C231" s="57"/>
      <c r="D231" s="57"/>
      <c r="E231" s="58"/>
      <c r="I231" s="59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57"/>
      <c r="B232" s="57"/>
      <c r="C232" s="57"/>
      <c r="D232" s="57"/>
      <c r="E232" s="58"/>
      <c r="I232" s="59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57"/>
      <c r="B233" s="57"/>
      <c r="C233" s="57"/>
      <c r="D233" s="57"/>
      <c r="E233" s="58"/>
      <c r="I233" s="59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57"/>
      <c r="B234" s="57"/>
      <c r="C234" s="57"/>
      <c r="D234" s="57"/>
      <c r="E234" s="58"/>
      <c r="I234" s="59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57"/>
      <c r="B235" s="57"/>
      <c r="C235" s="57"/>
      <c r="D235" s="57"/>
      <c r="E235" s="58"/>
      <c r="I235" s="59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57"/>
      <c r="B236" s="57"/>
      <c r="C236" s="57"/>
      <c r="D236" s="57"/>
      <c r="E236" s="58"/>
      <c r="I236" s="59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57"/>
      <c r="B237" s="57"/>
      <c r="C237" s="57"/>
      <c r="D237" s="57"/>
      <c r="E237" s="58"/>
      <c r="I237" s="59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57"/>
      <c r="B238" s="57"/>
      <c r="C238" s="57"/>
      <c r="D238" s="57"/>
      <c r="E238" s="58"/>
      <c r="I238" s="59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57"/>
      <c r="B239" s="57"/>
      <c r="C239" s="57"/>
      <c r="D239" s="57"/>
      <c r="E239" s="58"/>
      <c r="I239" s="59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57"/>
      <c r="B240" s="57"/>
      <c r="C240" s="57"/>
      <c r="D240" s="57"/>
      <c r="E240" s="58"/>
      <c r="I240" s="59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57"/>
      <c r="B241" s="57"/>
      <c r="C241" s="57"/>
      <c r="D241" s="57"/>
      <c r="E241" s="58"/>
      <c r="I241" s="59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57"/>
      <c r="B242" s="57"/>
      <c r="C242" s="57"/>
      <c r="D242" s="57"/>
      <c r="E242" s="58"/>
      <c r="I242" s="59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57"/>
      <c r="B243" s="57"/>
      <c r="C243" s="57"/>
      <c r="D243" s="57"/>
      <c r="E243" s="58"/>
      <c r="I243" s="59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57"/>
      <c r="B244" s="57"/>
      <c r="C244" s="57"/>
      <c r="D244" s="57"/>
      <c r="E244" s="58"/>
      <c r="I244" s="59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57"/>
      <c r="B245" s="57"/>
      <c r="C245" s="57"/>
      <c r="D245" s="57"/>
      <c r="E245" s="58"/>
      <c r="I245" s="59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57"/>
      <c r="B246" s="57"/>
      <c r="C246" s="57"/>
      <c r="D246" s="57"/>
      <c r="E246" s="58"/>
      <c r="I246" s="59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57"/>
      <c r="B247" s="57"/>
      <c r="C247" s="57"/>
      <c r="D247" s="57"/>
      <c r="E247" s="58"/>
      <c r="I247" s="59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57"/>
      <c r="B248" s="57"/>
      <c r="C248" s="57"/>
      <c r="D248" s="57"/>
      <c r="E248" s="58"/>
      <c r="I248" s="59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57"/>
      <c r="B249" s="57"/>
      <c r="C249" s="57"/>
      <c r="D249" s="57"/>
      <c r="E249" s="58"/>
      <c r="I249" s="59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57"/>
      <c r="B250" s="57"/>
      <c r="C250" s="57"/>
      <c r="D250" s="57"/>
      <c r="E250" s="58"/>
      <c r="I250" s="59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57"/>
      <c r="B251" s="57"/>
      <c r="C251" s="57"/>
      <c r="D251" s="57"/>
      <c r="E251" s="58"/>
      <c r="I251" s="59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57"/>
      <c r="B252" s="57"/>
      <c r="C252" s="57"/>
      <c r="D252" s="57"/>
      <c r="E252" s="58"/>
      <c r="I252" s="59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57"/>
      <c r="B253" s="57"/>
      <c r="C253" s="57"/>
      <c r="D253" s="57"/>
      <c r="E253" s="58"/>
      <c r="I253" s="59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57"/>
      <c r="B254" s="57"/>
      <c r="C254" s="57"/>
      <c r="D254" s="57"/>
      <c r="E254" s="58"/>
      <c r="I254" s="59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57"/>
      <c r="B255" s="57"/>
      <c r="C255" s="57"/>
      <c r="D255" s="57"/>
      <c r="E255" s="58"/>
      <c r="I255" s="59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57"/>
      <c r="B256" s="57"/>
      <c r="C256" s="57"/>
      <c r="D256" s="57"/>
      <c r="E256" s="58"/>
      <c r="I256" s="59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57"/>
      <c r="B257" s="57"/>
      <c r="C257" s="57"/>
      <c r="D257" s="57"/>
      <c r="E257" s="58"/>
      <c r="I257" s="59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57"/>
      <c r="B258" s="57"/>
      <c r="C258" s="57"/>
      <c r="D258" s="57"/>
      <c r="E258" s="58"/>
      <c r="I258" s="59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57"/>
      <c r="B259" s="57"/>
      <c r="C259" s="57"/>
      <c r="D259" s="57"/>
      <c r="E259" s="58"/>
      <c r="I259" s="59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57"/>
      <c r="B260" s="57"/>
      <c r="C260" s="57"/>
      <c r="D260" s="57"/>
      <c r="E260" s="58"/>
      <c r="I260" s="59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57"/>
      <c r="B261" s="57"/>
      <c r="C261" s="57"/>
      <c r="D261" s="57"/>
      <c r="E261" s="58"/>
      <c r="I261" s="59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57"/>
      <c r="B262" s="57"/>
      <c r="C262" s="57"/>
      <c r="D262" s="57"/>
      <c r="E262" s="58"/>
      <c r="I262" s="59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57"/>
      <c r="B263" s="57"/>
      <c r="C263" s="57"/>
      <c r="D263" s="57"/>
      <c r="E263" s="58"/>
      <c r="I263" s="59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57"/>
      <c r="B264" s="57"/>
      <c r="C264" s="57"/>
      <c r="D264" s="57"/>
      <c r="E264" s="58"/>
      <c r="I264" s="59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57"/>
      <c r="B265" s="57"/>
      <c r="C265" s="57"/>
      <c r="D265" s="57"/>
      <c r="E265" s="58"/>
      <c r="I265" s="59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57"/>
      <c r="B266" s="57"/>
      <c r="C266" s="57"/>
      <c r="D266" s="57"/>
      <c r="E266" s="58"/>
      <c r="I266" s="59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57"/>
      <c r="B267" s="57"/>
      <c r="C267" s="57"/>
      <c r="D267" s="57"/>
      <c r="E267" s="58"/>
      <c r="I267" s="59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57"/>
      <c r="B268" s="57"/>
      <c r="C268" s="57"/>
      <c r="D268" s="57"/>
      <c r="E268" s="58"/>
      <c r="I268" s="59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57"/>
      <c r="B269" s="57"/>
      <c r="C269" s="57"/>
      <c r="D269" s="57"/>
      <c r="E269" s="58"/>
      <c r="I269" s="59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57"/>
      <c r="B270" s="57"/>
      <c r="C270" s="57"/>
      <c r="D270" s="57"/>
      <c r="E270" s="58"/>
      <c r="I270" s="59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57"/>
      <c r="B271" s="57"/>
      <c r="C271" s="57"/>
      <c r="D271" s="57"/>
      <c r="E271" s="58"/>
      <c r="I271" s="59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57"/>
      <c r="B272" s="57"/>
      <c r="C272" s="57"/>
      <c r="D272" s="57"/>
      <c r="E272" s="58"/>
      <c r="I272" s="59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57"/>
      <c r="B273" s="57"/>
      <c r="C273" s="57"/>
      <c r="D273" s="57"/>
      <c r="E273" s="58"/>
      <c r="I273" s="59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57"/>
      <c r="B274" s="57"/>
      <c r="C274" s="57"/>
      <c r="D274" s="57"/>
      <c r="E274" s="58"/>
      <c r="I274" s="59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57"/>
      <c r="B275" s="57"/>
      <c r="C275" s="57"/>
      <c r="D275" s="57"/>
      <c r="E275" s="58"/>
      <c r="I275" s="59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57"/>
      <c r="B276" s="57"/>
      <c r="C276" s="57"/>
      <c r="D276" s="57"/>
      <c r="E276" s="58"/>
      <c r="I276" s="59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57"/>
      <c r="B277" s="57"/>
      <c r="C277" s="57"/>
      <c r="D277" s="57"/>
      <c r="E277" s="58"/>
      <c r="I277" s="59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57"/>
      <c r="B278" s="57"/>
      <c r="C278" s="57"/>
      <c r="D278" s="57"/>
      <c r="E278" s="58"/>
      <c r="I278" s="59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57"/>
      <c r="B279" s="57"/>
      <c r="C279" s="57"/>
      <c r="D279" s="57"/>
      <c r="E279" s="58"/>
      <c r="I279" s="59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57"/>
      <c r="B280" s="57"/>
      <c r="C280" s="57"/>
      <c r="D280" s="57"/>
      <c r="E280" s="58"/>
      <c r="I280" s="59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57"/>
      <c r="B281" s="57"/>
      <c r="C281" s="57"/>
      <c r="D281" s="57"/>
      <c r="E281" s="58"/>
      <c r="I281" s="59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57"/>
      <c r="B282" s="57"/>
      <c r="C282" s="57"/>
      <c r="D282" s="57"/>
      <c r="E282" s="58"/>
      <c r="I282" s="59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57"/>
      <c r="B283" s="57"/>
      <c r="C283" s="57"/>
      <c r="D283" s="57"/>
      <c r="E283" s="58"/>
      <c r="I283" s="59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57"/>
      <c r="B284" s="57"/>
      <c r="C284" s="57"/>
      <c r="D284" s="57"/>
      <c r="E284" s="58"/>
      <c r="I284" s="59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57"/>
      <c r="B285" s="57"/>
      <c r="C285" s="57"/>
      <c r="D285" s="57"/>
      <c r="E285" s="58"/>
      <c r="I285" s="59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57"/>
      <c r="B286" s="57"/>
      <c r="C286" s="57"/>
      <c r="D286" s="57"/>
      <c r="E286" s="58"/>
      <c r="I286" s="59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57"/>
      <c r="B287" s="57"/>
      <c r="C287" s="57"/>
      <c r="D287" s="57"/>
      <c r="E287" s="58"/>
      <c r="I287" s="59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57"/>
      <c r="B288" s="57"/>
      <c r="C288" s="57"/>
      <c r="D288" s="57"/>
      <c r="E288" s="58"/>
      <c r="I288" s="59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57"/>
      <c r="B289" s="57"/>
      <c r="C289" s="57"/>
      <c r="D289" s="57"/>
      <c r="E289" s="58"/>
      <c r="I289" s="59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57"/>
      <c r="B290" s="57"/>
      <c r="C290" s="57"/>
      <c r="D290" s="57"/>
      <c r="E290" s="58"/>
      <c r="I290" s="59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57"/>
      <c r="B291" s="57"/>
      <c r="C291" s="57"/>
      <c r="D291" s="57"/>
      <c r="E291" s="58"/>
      <c r="I291" s="59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57"/>
      <c r="B292" s="57"/>
      <c r="C292" s="57"/>
      <c r="D292" s="57"/>
      <c r="E292" s="58"/>
      <c r="I292" s="59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57"/>
      <c r="B293" s="57"/>
      <c r="C293" s="57"/>
      <c r="D293" s="57"/>
      <c r="E293" s="58"/>
      <c r="I293" s="59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57"/>
      <c r="B294" s="57"/>
      <c r="C294" s="57"/>
      <c r="D294" s="57"/>
      <c r="E294" s="58"/>
      <c r="I294" s="59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57"/>
      <c r="B295" s="57"/>
      <c r="C295" s="57"/>
      <c r="D295" s="57"/>
      <c r="E295" s="58"/>
      <c r="I295" s="59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57"/>
      <c r="B296" s="57"/>
      <c r="C296" s="57"/>
      <c r="D296" s="57"/>
      <c r="E296" s="58"/>
      <c r="I296" s="59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57"/>
      <c r="B297" s="57"/>
      <c r="C297" s="57"/>
      <c r="D297" s="57"/>
      <c r="E297" s="58"/>
      <c r="I297" s="59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57"/>
      <c r="B298" s="57"/>
      <c r="C298" s="57"/>
      <c r="D298" s="57"/>
      <c r="E298" s="58"/>
      <c r="I298" s="59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57"/>
      <c r="B299" s="57"/>
      <c r="C299" s="57"/>
      <c r="D299" s="57"/>
      <c r="E299" s="58"/>
      <c r="I299" s="59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57"/>
      <c r="B300" s="57"/>
      <c r="C300" s="57"/>
      <c r="D300" s="57"/>
      <c r="E300" s="58"/>
      <c r="I300" s="59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57"/>
      <c r="B301" s="57"/>
      <c r="C301" s="57"/>
      <c r="D301" s="57"/>
      <c r="E301" s="58"/>
      <c r="I301" s="59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57"/>
      <c r="B302" s="57"/>
      <c r="C302" s="57"/>
      <c r="D302" s="57"/>
      <c r="E302" s="58"/>
      <c r="I302" s="59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57"/>
      <c r="B303" s="57"/>
      <c r="C303" s="57"/>
      <c r="D303" s="57"/>
      <c r="E303" s="58"/>
      <c r="I303" s="59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57"/>
      <c r="B304" s="57"/>
      <c r="C304" s="57"/>
      <c r="D304" s="57"/>
      <c r="E304" s="58"/>
      <c r="I304" s="59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57"/>
      <c r="B305" s="57"/>
      <c r="C305" s="57"/>
      <c r="D305" s="57"/>
      <c r="E305" s="58"/>
      <c r="I305" s="59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57"/>
      <c r="B306" s="57"/>
      <c r="C306" s="57"/>
      <c r="D306" s="57"/>
      <c r="E306" s="58"/>
      <c r="I306" s="59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57"/>
      <c r="B307" s="57"/>
      <c r="C307" s="57"/>
      <c r="D307" s="57"/>
      <c r="E307" s="58"/>
      <c r="I307" s="59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57"/>
      <c r="B308" s="57"/>
      <c r="C308" s="57"/>
      <c r="D308" s="57"/>
      <c r="E308" s="58"/>
      <c r="I308" s="59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57"/>
      <c r="B309" s="57"/>
      <c r="C309" s="57"/>
      <c r="D309" s="57"/>
      <c r="E309" s="58"/>
      <c r="I309" s="59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57"/>
      <c r="B310" s="57"/>
      <c r="C310" s="57"/>
      <c r="D310" s="57"/>
      <c r="E310" s="58"/>
      <c r="I310" s="59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57"/>
      <c r="B311" s="57"/>
      <c r="C311" s="57"/>
      <c r="D311" s="57"/>
      <c r="E311" s="58"/>
      <c r="I311" s="59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57"/>
      <c r="B312" s="57"/>
      <c r="C312" s="57"/>
      <c r="D312" s="57"/>
      <c r="E312" s="58"/>
      <c r="I312" s="59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57"/>
      <c r="B313" s="57"/>
      <c r="C313" s="57"/>
      <c r="D313" s="57"/>
      <c r="E313" s="58"/>
      <c r="I313" s="59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57"/>
      <c r="B314" s="57"/>
      <c r="C314" s="57"/>
      <c r="D314" s="57"/>
      <c r="E314" s="58"/>
      <c r="I314" s="59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57"/>
      <c r="B315" s="57"/>
      <c r="C315" s="57"/>
      <c r="D315" s="57"/>
      <c r="E315" s="58"/>
      <c r="I315" s="59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57"/>
      <c r="B316" s="57"/>
      <c r="C316" s="57"/>
      <c r="D316" s="57"/>
      <c r="E316" s="58"/>
      <c r="I316" s="59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57"/>
      <c r="B317" s="57"/>
      <c r="C317" s="57"/>
      <c r="D317" s="57"/>
      <c r="E317" s="58"/>
      <c r="I317" s="59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57"/>
      <c r="B318" s="57"/>
      <c r="C318" s="57"/>
      <c r="D318" s="57"/>
      <c r="E318" s="58"/>
      <c r="I318" s="59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57"/>
      <c r="B319" s="57"/>
      <c r="C319" s="57"/>
      <c r="D319" s="57"/>
      <c r="E319" s="58"/>
      <c r="I319" s="59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57"/>
      <c r="B320" s="57"/>
      <c r="C320" s="57"/>
      <c r="D320" s="57"/>
      <c r="E320" s="58"/>
      <c r="I320" s="59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57"/>
      <c r="B321" s="57"/>
      <c r="C321" s="57"/>
      <c r="D321" s="57"/>
      <c r="E321" s="58"/>
      <c r="I321" s="59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57"/>
      <c r="B322" s="57"/>
      <c r="C322" s="57"/>
      <c r="D322" s="57"/>
      <c r="E322" s="58"/>
      <c r="I322" s="59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57"/>
      <c r="B323" s="57"/>
      <c r="C323" s="57"/>
      <c r="D323" s="57"/>
      <c r="E323" s="58"/>
      <c r="I323" s="59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57"/>
      <c r="B324" s="57"/>
      <c r="C324" s="57"/>
      <c r="D324" s="57"/>
      <c r="E324" s="58"/>
      <c r="I324" s="59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57"/>
      <c r="B325" s="57"/>
      <c r="C325" s="57"/>
      <c r="D325" s="57"/>
      <c r="E325" s="58"/>
      <c r="I325" s="59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57"/>
      <c r="B326" s="57"/>
      <c r="C326" s="57"/>
      <c r="D326" s="57"/>
      <c r="E326" s="58"/>
      <c r="I326" s="59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57"/>
      <c r="B327" s="57"/>
      <c r="C327" s="57"/>
      <c r="D327" s="57"/>
      <c r="E327" s="58"/>
      <c r="I327" s="59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57"/>
      <c r="B328" s="57"/>
      <c r="C328" s="57"/>
      <c r="D328" s="57"/>
      <c r="E328" s="58"/>
      <c r="I328" s="59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57"/>
      <c r="B329" s="57"/>
      <c r="C329" s="57"/>
      <c r="D329" s="57"/>
      <c r="E329" s="58"/>
      <c r="I329" s="59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57"/>
      <c r="B330" s="57"/>
      <c r="C330" s="57"/>
      <c r="D330" s="57"/>
      <c r="E330" s="58"/>
      <c r="I330" s="59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57"/>
      <c r="B331" s="57"/>
      <c r="C331" s="57"/>
      <c r="D331" s="57"/>
      <c r="E331" s="58"/>
      <c r="I331" s="59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57"/>
      <c r="B332" s="57"/>
      <c r="C332" s="57"/>
      <c r="D332" s="57"/>
      <c r="E332" s="58"/>
      <c r="I332" s="59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57"/>
      <c r="B333" s="57"/>
      <c r="C333" s="57"/>
      <c r="D333" s="57"/>
      <c r="E333" s="58"/>
      <c r="I333" s="59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57"/>
      <c r="B334" s="57"/>
      <c r="C334" s="57"/>
      <c r="D334" s="57"/>
      <c r="E334" s="58"/>
      <c r="I334" s="59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57"/>
      <c r="B335" s="57"/>
      <c r="C335" s="57"/>
      <c r="D335" s="57"/>
      <c r="E335" s="58"/>
      <c r="I335" s="59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57"/>
      <c r="B336" s="57"/>
      <c r="C336" s="57"/>
      <c r="D336" s="57"/>
      <c r="E336" s="58"/>
      <c r="I336" s="59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57"/>
      <c r="B337" s="57"/>
      <c r="C337" s="57"/>
      <c r="D337" s="57"/>
      <c r="E337" s="58"/>
      <c r="I337" s="59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57"/>
      <c r="B338" s="57"/>
      <c r="C338" s="57"/>
      <c r="D338" s="57"/>
      <c r="E338" s="58"/>
      <c r="I338" s="59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57"/>
      <c r="B339" s="57"/>
      <c r="C339" s="57"/>
      <c r="D339" s="57"/>
      <c r="E339" s="58"/>
      <c r="I339" s="59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57"/>
      <c r="B340" s="57"/>
      <c r="C340" s="57"/>
      <c r="D340" s="57"/>
      <c r="E340" s="58"/>
      <c r="I340" s="59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57"/>
      <c r="B341" s="57"/>
      <c r="C341" s="57"/>
      <c r="D341" s="57"/>
      <c r="E341" s="58"/>
      <c r="I341" s="59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57"/>
      <c r="B342" s="57"/>
      <c r="C342" s="57"/>
      <c r="D342" s="57"/>
      <c r="E342" s="58"/>
      <c r="I342" s="59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57"/>
      <c r="B343" s="57"/>
      <c r="C343" s="57"/>
      <c r="D343" s="57"/>
      <c r="E343" s="58"/>
      <c r="I343" s="59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57"/>
      <c r="B344" s="57"/>
      <c r="C344" s="57"/>
      <c r="D344" s="57"/>
      <c r="E344" s="58"/>
      <c r="I344" s="59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57"/>
      <c r="B345" s="57"/>
      <c r="C345" s="57"/>
      <c r="D345" s="57"/>
      <c r="E345" s="58"/>
      <c r="I345" s="59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57"/>
      <c r="B346" s="57"/>
      <c r="C346" s="57"/>
      <c r="D346" s="57"/>
      <c r="E346" s="58"/>
      <c r="I346" s="59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57"/>
      <c r="B347" s="57"/>
      <c r="C347" s="57"/>
      <c r="D347" s="57"/>
      <c r="E347" s="58"/>
      <c r="I347" s="59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57"/>
      <c r="B348" s="57"/>
      <c r="C348" s="57"/>
      <c r="D348" s="57"/>
      <c r="E348" s="58"/>
      <c r="I348" s="59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57"/>
      <c r="B349" s="57"/>
      <c r="C349" s="57"/>
      <c r="D349" s="57"/>
      <c r="E349" s="58"/>
      <c r="I349" s="59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57"/>
      <c r="B350" s="57"/>
      <c r="C350" s="57"/>
      <c r="D350" s="57"/>
      <c r="E350" s="58"/>
      <c r="I350" s="59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57"/>
      <c r="B351" s="57"/>
      <c r="C351" s="57"/>
      <c r="D351" s="57"/>
      <c r="E351" s="58"/>
      <c r="I351" s="59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57"/>
      <c r="B352" s="57"/>
      <c r="C352" s="57"/>
      <c r="D352" s="57"/>
      <c r="E352" s="58"/>
      <c r="I352" s="59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57"/>
      <c r="B353" s="57"/>
      <c r="C353" s="57"/>
      <c r="D353" s="57"/>
      <c r="E353" s="58"/>
      <c r="I353" s="59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57"/>
      <c r="B354" s="57"/>
      <c r="C354" s="57"/>
      <c r="D354" s="57"/>
      <c r="E354" s="58"/>
      <c r="I354" s="59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57"/>
      <c r="B355" s="57"/>
      <c r="C355" s="57"/>
      <c r="D355" s="57"/>
      <c r="E355" s="58"/>
      <c r="I355" s="59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57"/>
      <c r="B356" s="57"/>
      <c r="C356" s="57"/>
      <c r="D356" s="57"/>
      <c r="E356" s="58"/>
      <c r="I356" s="59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57"/>
      <c r="B357" s="57"/>
      <c r="C357" s="57"/>
      <c r="D357" s="57"/>
      <c r="E357" s="58"/>
      <c r="I357" s="59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57"/>
      <c r="B358" s="57"/>
      <c r="C358" s="57"/>
      <c r="D358" s="57"/>
      <c r="E358" s="58"/>
      <c r="I358" s="59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57"/>
      <c r="B359" s="57"/>
      <c r="C359" s="57"/>
      <c r="D359" s="57"/>
      <c r="E359" s="58"/>
      <c r="I359" s="59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57"/>
      <c r="B360" s="57"/>
      <c r="C360" s="57"/>
      <c r="D360" s="57"/>
      <c r="E360" s="58"/>
      <c r="I360" s="59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57"/>
      <c r="B361" s="57"/>
      <c r="C361" s="57"/>
      <c r="D361" s="57"/>
      <c r="E361" s="58"/>
      <c r="I361" s="59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57"/>
      <c r="B362" s="57"/>
      <c r="C362" s="57"/>
      <c r="D362" s="57"/>
      <c r="E362" s="58"/>
      <c r="I362" s="59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57"/>
      <c r="B363" s="57"/>
      <c r="C363" s="57"/>
      <c r="D363" s="57"/>
      <c r="E363" s="58"/>
      <c r="I363" s="59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57"/>
      <c r="B364" s="57"/>
      <c r="C364" s="57"/>
      <c r="D364" s="57"/>
      <c r="E364" s="58"/>
      <c r="I364" s="59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57"/>
      <c r="B365" s="57"/>
      <c r="C365" s="57"/>
      <c r="D365" s="57"/>
      <c r="E365" s="58"/>
      <c r="I365" s="59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57"/>
      <c r="B366" s="57"/>
      <c r="C366" s="57"/>
      <c r="D366" s="57"/>
      <c r="E366" s="58"/>
      <c r="I366" s="59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57"/>
      <c r="B367" s="57"/>
      <c r="C367" s="57"/>
      <c r="D367" s="57"/>
      <c r="E367" s="58"/>
      <c r="I367" s="59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57"/>
      <c r="B368" s="57"/>
      <c r="C368" s="57"/>
      <c r="D368" s="57"/>
      <c r="E368" s="58"/>
      <c r="I368" s="59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57"/>
      <c r="B369" s="57"/>
      <c r="C369" s="57"/>
      <c r="D369" s="57"/>
      <c r="E369" s="58"/>
      <c r="I369" s="59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57"/>
      <c r="B370" s="57"/>
      <c r="C370" s="57"/>
      <c r="D370" s="57"/>
      <c r="E370" s="58"/>
      <c r="I370" s="59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57"/>
      <c r="B371" s="57"/>
      <c r="C371" s="57"/>
      <c r="D371" s="57"/>
      <c r="E371" s="58"/>
      <c r="I371" s="59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57"/>
      <c r="B372" s="57"/>
      <c r="C372" s="57"/>
      <c r="D372" s="57"/>
      <c r="E372" s="58"/>
      <c r="I372" s="59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57"/>
      <c r="B373" s="57"/>
      <c r="C373" s="57"/>
      <c r="D373" s="57"/>
      <c r="E373" s="58"/>
      <c r="I373" s="59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57"/>
      <c r="B374" s="57"/>
      <c r="C374" s="57"/>
      <c r="D374" s="57"/>
      <c r="E374" s="58"/>
      <c r="I374" s="59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57"/>
      <c r="B375" s="57"/>
      <c r="C375" s="57"/>
      <c r="D375" s="57"/>
      <c r="E375" s="58"/>
      <c r="I375" s="59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57"/>
      <c r="B376" s="57"/>
      <c r="C376" s="57"/>
      <c r="D376" s="57"/>
      <c r="E376" s="58"/>
      <c r="I376" s="59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57"/>
      <c r="B377" s="57"/>
      <c r="C377" s="57"/>
      <c r="D377" s="57"/>
      <c r="E377" s="58"/>
      <c r="I377" s="59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57"/>
      <c r="B378" s="57"/>
      <c r="C378" s="57"/>
      <c r="D378" s="57"/>
      <c r="E378" s="58"/>
      <c r="I378" s="59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57"/>
      <c r="B379" s="57"/>
      <c r="C379" s="57"/>
      <c r="D379" s="57"/>
      <c r="E379" s="58"/>
      <c r="I379" s="59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57"/>
      <c r="B380" s="57"/>
      <c r="C380" s="57"/>
      <c r="D380" s="57"/>
      <c r="E380" s="58"/>
      <c r="I380" s="59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57"/>
      <c r="B381" s="57"/>
      <c r="C381" s="57"/>
      <c r="D381" s="57"/>
      <c r="E381" s="58"/>
      <c r="I381" s="59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57"/>
      <c r="B382" s="57"/>
      <c r="C382" s="57"/>
      <c r="D382" s="57"/>
      <c r="E382" s="58"/>
      <c r="I382" s="59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57"/>
      <c r="B383" s="57"/>
      <c r="C383" s="57"/>
      <c r="D383" s="57"/>
      <c r="E383" s="58"/>
      <c r="I383" s="59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57"/>
      <c r="B384" s="57"/>
      <c r="C384" s="57"/>
      <c r="D384" s="57"/>
      <c r="E384" s="58"/>
      <c r="I384" s="59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57"/>
      <c r="B385" s="57"/>
      <c r="C385" s="57"/>
      <c r="D385" s="57"/>
      <c r="E385" s="58"/>
      <c r="I385" s="59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57"/>
      <c r="B386" s="57"/>
      <c r="C386" s="57"/>
      <c r="D386" s="57"/>
      <c r="E386" s="58"/>
      <c r="I386" s="59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57"/>
      <c r="B387" s="57"/>
      <c r="C387" s="57"/>
      <c r="D387" s="57"/>
      <c r="E387" s="58"/>
      <c r="I387" s="59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57"/>
      <c r="B388" s="57"/>
      <c r="C388" s="57"/>
      <c r="D388" s="57"/>
      <c r="E388" s="58"/>
      <c r="I388" s="59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57"/>
      <c r="B389" s="57"/>
      <c r="C389" s="57"/>
      <c r="D389" s="57"/>
      <c r="E389" s="58"/>
      <c r="I389" s="59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57"/>
      <c r="B390" s="57"/>
      <c r="C390" s="57"/>
      <c r="D390" s="57"/>
      <c r="E390" s="58"/>
      <c r="I390" s="59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57"/>
      <c r="B391" s="57"/>
      <c r="C391" s="57"/>
      <c r="D391" s="57"/>
      <c r="E391" s="58"/>
      <c r="I391" s="59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57"/>
      <c r="B392" s="57"/>
      <c r="C392" s="57"/>
      <c r="D392" s="57"/>
      <c r="E392" s="58"/>
      <c r="I392" s="59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57"/>
      <c r="B393" s="57"/>
      <c r="C393" s="57"/>
      <c r="D393" s="57"/>
      <c r="E393" s="58"/>
      <c r="I393" s="59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57"/>
      <c r="B394" s="57"/>
      <c r="C394" s="57"/>
      <c r="D394" s="57"/>
      <c r="E394" s="58"/>
      <c r="I394" s="59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57"/>
      <c r="B395" s="57"/>
      <c r="C395" s="57"/>
      <c r="D395" s="57"/>
      <c r="E395" s="58"/>
      <c r="I395" s="59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57"/>
      <c r="B396" s="57"/>
      <c r="C396" s="57"/>
      <c r="D396" s="57"/>
      <c r="E396" s="58"/>
      <c r="I396" s="59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57"/>
      <c r="B397" s="57"/>
      <c r="C397" s="57"/>
      <c r="D397" s="57"/>
      <c r="E397" s="58"/>
      <c r="I397" s="59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57"/>
      <c r="B398" s="57"/>
      <c r="C398" s="57"/>
      <c r="D398" s="57"/>
      <c r="E398" s="58"/>
      <c r="I398" s="59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57"/>
      <c r="B399" s="57"/>
      <c r="C399" s="57"/>
      <c r="D399" s="57"/>
      <c r="E399" s="58"/>
      <c r="I399" s="59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57"/>
      <c r="B400" s="57"/>
      <c r="C400" s="57"/>
      <c r="D400" s="57"/>
      <c r="E400" s="58"/>
      <c r="I400" s="59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57"/>
      <c r="B401" s="57"/>
      <c r="C401" s="57"/>
      <c r="D401" s="57"/>
      <c r="E401" s="58"/>
      <c r="I401" s="59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57"/>
      <c r="B402" s="57"/>
      <c r="C402" s="57"/>
      <c r="D402" s="57"/>
      <c r="E402" s="58"/>
      <c r="I402" s="59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57"/>
      <c r="B403" s="57"/>
      <c r="C403" s="57"/>
      <c r="D403" s="57"/>
      <c r="E403" s="58"/>
      <c r="I403" s="59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57"/>
      <c r="B404" s="57"/>
      <c r="C404" s="57"/>
      <c r="D404" s="57"/>
      <c r="E404" s="58"/>
      <c r="I404" s="59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57"/>
      <c r="B405" s="57"/>
      <c r="C405" s="57"/>
      <c r="D405" s="57"/>
      <c r="E405" s="58"/>
      <c r="I405" s="59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57"/>
      <c r="B406" s="57"/>
      <c r="C406" s="57"/>
      <c r="D406" s="57"/>
      <c r="E406" s="58"/>
      <c r="I406" s="59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57"/>
      <c r="B407" s="57"/>
      <c r="C407" s="57"/>
      <c r="D407" s="57"/>
      <c r="E407" s="58"/>
      <c r="I407" s="59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57"/>
      <c r="B408" s="57"/>
      <c r="C408" s="57"/>
      <c r="D408" s="57"/>
      <c r="E408" s="58"/>
      <c r="I408" s="59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57"/>
      <c r="B409" s="57"/>
      <c r="C409" s="57"/>
      <c r="D409" s="57"/>
      <c r="E409" s="58"/>
      <c r="I409" s="59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57"/>
      <c r="B410" s="57"/>
      <c r="C410" s="57"/>
      <c r="D410" s="57"/>
      <c r="E410" s="58"/>
      <c r="I410" s="59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57"/>
      <c r="B411" s="57"/>
      <c r="C411" s="57"/>
      <c r="D411" s="57"/>
      <c r="E411" s="58"/>
      <c r="I411" s="59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57"/>
      <c r="B412" s="57"/>
      <c r="C412" s="57"/>
      <c r="D412" s="57"/>
      <c r="E412" s="58"/>
      <c r="I412" s="59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57"/>
      <c r="B413" s="57"/>
      <c r="C413" s="57"/>
      <c r="D413" s="57"/>
      <c r="E413" s="58"/>
      <c r="I413" s="59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57"/>
      <c r="B414" s="57"/>
      <c r="C414" s="57"/>
      <c r="D414" s="57"/>
      <c r="E414" s="58"/>
      <c r="I414" s="59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57"/>
      <c r="B415" s="57"/>
      <c r="C415" s="57"/>
      <c r="D415" s="57"/>
      <c r="E415" s="58"/>
      <c r="I415" s="59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57"/>
      <c r="B416" s="57"/>
      <c r="C416" s="57"/>
      <c r="D416" s="57"/>
      <c r="E416" s="58"/>
      <c r="I416" s="59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57"/>
      <c r="B417" s="57"/>
      <c r="C417" s="57"/>
      <c r="D417" s="57"/>
      <c r="E417" s="58"/>
      <c r="I417" s="59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57"/>
      <c r="B418" s="57"/>
      <c r="C418" s="57"/>
      <c r="D418" s="57"/>
      <c r="E418" s="58"/>
      <c r="I418" s="59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57"/>
      <c r="B419" s="57"/>
      <c r="C419" s="57"/>
      <c r="D419" s="57"/>
      <c r="E419" s="58"/>
      <c r="I419" s="59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57"/>
      <c r="B420" s="57"/>
      <c r="C420" s="57"/>
      <c r="D420" s="57"/>
      <c r="E420" s="58"/>
      <c r="I420" s="59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57"/>
      <c r="B421" s="57"/>
      <c r="C421" s="57"/>
      <c r="D421" s="57"/>
      <c r="E421" s="58"/>
      <c r="I421" s="59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57"/>
      <c r="B422" s="57"/>
      <c r="C422" s="57"/>
      <c r="D422" s="57"/>
      <c r="E422" s="58"/>
      <c r="I422" s="59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57"/>
      <c r="B423" s="57"/>
      <c r="C423" s="57"/>
      <c r="D423" s="57"/>
      <c r="E423" s="58"/>
      <c r="I423" s="59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57"/>
      <c r="B424" s="57"/>
      <c r="C424" s="57"/>
      <c r="D424" s="57"/>
      <c r="E424" s="58"/>
      <c r="I424" s="59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57"/>
      <c r="B425" s="57"/>
      <c r="C425" s="57"/>
      <c r="D425" s="57"/>
      <c r="E425" s="58"/>
      <c r="I425" s="59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57"/>
      <c r="B426" s="57"/>
      <c r="C426" s="57"/>
      <c r="D426" s="57"/>
      <c r="E426" s="58"/>
      <c r="I426" s="59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57"/>
      <c r="B427" s="57"/>
      <c r="C427" s="57"/>
      <c r="D427" s="57"/>
      <c r="E427" s="58"/>
      <c r="I427" s="59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57"/>
      <c r="B428" s="57"/>
      <c r="C428" s="57"/>
      <c r="D428" s="57"/>
      <c r="E428" s="58"/>
      <c r="I428" s="59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57"/>
      <c r="B429" s="57"/>
      <c r="C429" s="57"/>
      <c r="D429" s="57"/>
      <c r="E429" s="58"/>
      <c r="I429" s="59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57"/>
      <c r="B430" s="57"/>
      <c r="C430" s="57"/>
      <c r="D430" s="57"/>
      <c r="E430" s="58"/>
      <c r="I430" s="59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57"/>
      <c r="B431" s="57"/>
      <c r="C431" s="57"/>
      <c r="D431" s="57"/>
      <c r="E431" s="58"/>
      <c r="I431" s="59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57"/>
      <c r="B432" s="57"/>
      <c r="C432" s="57"/>
      <c r="D432" s="57"/>
      <c r="E432" s="58"/>
      <c r="I432" s="59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57"/>
      <c r="B433" s="57"/>
      <c r="C433" s="57"/>
      <c r="D433" s="57"/>
      <c r="E433" s="58"/>
      <c r="I433" s="59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57"/>
      <c r="B434" s="57"/>
      <c r="C434" s="57"/>
      <c r="D434" s="57"/>
      <c r="E434" s="58"/>
      <c r="I434" s="59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57"/>
      <c r="B435" s="57"/>
      <c r="C435" s="57"/>
      <c r="D435" s="57"/>
      <c r="E435" s="58"/>
      <c r="I435" s="59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57"/>
      <c r="B436" s="57"/>
      <c r="C436" s="57"/>
      <c r="D436" s="57"/>
      <c r="E436" s="58"/>
      <c r="I436" s="59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57"/>
      <c r="B437" s="57"/>
      <c r="C437" s="57"/>
      <c r="D437" s="57"/>
      <c r="E437" s="58"/>
      <c r="I437" s="59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57"/>
      <c r="B438" s="57"/>
      <c r="C438" s="57"/>
      <c r="D438" s="57"/>
      <c r="E438" s="58"/>
      <c r="I438" s="59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57"/>
      <c r="B439" s="57"/>
      <c r="C439" s="57"/>
      <c r="D439" s="57"/>
      <c r="E439" s="58"/>
      <c r="I439" s="59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57"/>
      <c r="B440" s="57"/>
      <c r="C440" s="57"/>
      <c r="D440" s="57"/>
      <c r="E440" s="58"/>
      <c r="I440" s="59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57"/>
      <c r="B441" s="57"/>
      <c r="C441" s="57"/>
      <c r="D441" s="57"/>
      <c r="E441" s="58"/>
      <c r="I441" s="59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57"/>
      <c r="B442" s="57"/>
      <c r="C442" s="57"/>
      <c r="D442" s="57"/>
      <c r="E442" s="58"/>
      <c r="I442" s="59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57"/>
      <c r="B443" s="57"/>
      <c r="C443" s="57"/>
      <c r="D443" s="57"/>
      <c r="E443" s="58"/>
      <c r="I443" s="59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57"/>
      <c r="B444" s="57"/>
      <c r="C444" s="57"/>
      <c r="D444" s="57"/>
      <c r="E444" s="58"/>
      <c r="I444" s="59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57"/>
      <c r="B445" s="57"/>
      <c r="C445" s="57"/>
      <c r="D445" s="57"/>
      <c r="E445" s="58"/>
      <c r="I445" s="59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57"/>
      <c r="B446" s="57"/>
      <c r="C446" s="57"/>
      <c r="D446" s="57"/>
      <c r="E446" s="58"/>
      <c r="I446" s="59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57"/>
      <c r="B447" s="57"/>
      <c r="C447" s="57"/>
      <c r="D447" s="57"/>
      <c r="E447" s="58"/>
      <c r="I447" s="59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57"/>
      <c r="B448" s="57"/>
      <c r="C448" s="57"/>
      <c r="D448" s="57"/>
      <c r="E448" s="58"/>
      <c r="I448" s="59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57"/>
      <c r="B449" s="57"/>
      <c r="C449" s="57"/>
      <c r="D449" s="57"/>
      <c r="E449" s="58"/>
      <c r="I449" s="59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57"/>
      <c r="B450" s="57"/>
      <c r="C450" s="57"/>
      <c r="D450" s="57"/>
      <c r="E450" s="58"/>
      <c r="I450" s="59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57"/>
      <c r="B451" s="57"/>
      <c r="C451" s="57"/>
      <c r="D451" s="57"/>
      <c r="E451" s="58"/>
      <c r="I451" s="59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57"/>
      <c r="B452" s="57"/>
      <c r="C452" s="57"/>
      <c r="D452" s="57"/>
      <c r="E452" s="58"/>
      <c r="I452" s="59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57"/>
      <c r="B453" s="57"/>
      <c r="C453" s="57"/>
      <c r="D453" s="57"/>
      <c r="E453" s="58"/>
      <c r="I453" s="59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57"/>
      <c r="B454" s="57"/>
      <c r="C454" s="57"/>
      <c r="D454" s="57"/>
      <c r="E454" s="58"/>
      <c r="I454" s="59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57"/>
      <c r="B455" s="57"/>
      <c r="C455" s="57"/>
      <c r="D455" s="57"/>
      <c r="E455" s="58"/>
      <c r="I455" s="59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57"/>
      <c r="B456" s="57"/>
      <c r="C456" s="57"/>
      <c r="D456" s="57"/>
      <c r="E456" s="58"/>
      <c r="I456" s="59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57"/>
      <c r="B457" s="57"/>
      <c r="C457" s="57"/>
      <c r="D457" s="57"/>
      <c r="E457" s="58"/>
      <c r="I457" s="59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57"/>
      <c r="B458" s="57"/>
      <c r="C458" s="57"/>
      <c r="D458" s="57"/>
      <c r="E458" s="58"/>
      <c r="I458" s="59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57"/>
      <c r="B459" s="57"/>
      <c r="C459" s="57"/>
      <c r="D459" s="57"/>
      <c r="E459" s="58"/>
      <c r="I459" s="59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57"/>
      <c r="B460" s="57"/>
      <c r="C460" s="57"/>
      <c r="D460" s="57"/>
      <c r="E460" s="58"/>
      <c r="I460" s="59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57"/>
      <c r="B461" s="57"/>
      <c r="C461" s="57"/>
      <c r="D461" s="57"/>
      <c r="E461" s="58"/>
      <c r="I461" s="59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57"/>
      <c r="B462" s="57"/>
      <c r="C462" s="57"/>
      <c r="D462" s="57"/>
      <c r="E462" s="58"/>
      <c r="I462" s="59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57"/>
      <c r="B463" s="57"/>
      <c r="C463" s="57"/>
      <c r="D463" s="57"/>
      <c r="E463" s="58"/>
      <c r="I463" s="59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57"/>
      <c r="B464" s="57"/>
      <c r="C464" s="57"/>
      <c r="D464" s="57"/>
      <c r="E464" s="58"/>
      <c r="I464" s="59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57"/>
      <c r="B465" s="57"/>
      <c r="C465" s="57"/>
      <c r="D465" s="57"/>
      <c r="E465" s="58"/>
      <c r="I465" s="59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57"/>
      <c r="B466" s="57"/>
      <c r="C466" s="57"/>
      <c r="D466" s="57"/>
      <c r="E466" s="58"/>
      <c r="I466" s="59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57"/>
      <c r="B467" s="57"/>
      <c r="C467" s="57"/>
      <c r="D467" s="57"/>
      <c r="E467" s="58"/>
      <c r="I467" s="59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57"/>
      <c r="B468" s="57"/>
      <c r="C468" s="57"/>
      <c r="D468" s="57"/>
      <c r="E468" s="58"/>
      <c r="I468" s="59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57"/>
      <c r="B469" s="57"/>
      <c r="C469" s="57"/>
      <c r="D469" s="57"/>
      <c r="E469" s="58"/>
      <c r="I469" s="59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57"/>
      <c r="B470" s="57"/>
      <c r="C470" s="57"/>
      <c r="D470" s="57"/>
      <c r="E470" s="58"/>
      <c r="I470" s="59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57"/>
      <c r="B471" s="57"/>
      <c r="C471" s="57"/>
      <c r="D471" s="57"/>
      <c r="E471" s="58"/>
      <c r="I471" s="59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57"/>
      <c r="B472" s="57"/>
      <c r="C472" s="57"/>
      <c r="D472" s="57"/>
      <c r="E472" s="58"/>
      <c r="I472" s="59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57"/>
      <c r="B473" s="57"/>
      <c r="C473" s="57"/>
      <c r="D473" s="57"/>
      <c r="E473" s="58"/>
      <c r="I473" s="59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57"/>
      <c r="B474" s="57"/>
      <c r="C474" s="57"/>
      <c r="D474" s="57"/>
      <c r="E474" s="58"/>
      <c r="I474" s="59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57"/>
      <c r="B475" s="57"/>
      <c r="C475" s="57"/>
      <c r="D475" s="57"/>
      <c r="E475" s="58"/>
      <c r="I475" s="59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57"/>
      <c r="B476" s="57"/>
      <c r="C476" s="57"/>
      <c r="D476" s="57"/>
      <c r="E476" s="58"/>
      <c r="I476" s="59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57"/>
      <c r="B477" s="57"/>
      <c r="C477" s="57"/>
      <c r="D477" s="57"/>
      <c r="E477" s="58"/>
      <c r="I477" s="59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57"/>
      <c r="B478" s="57"/>
      <c r="C478" s="57"/>
      <c r="D478" s="57"/>
      <c r="E478" s="58"/>
      <c r="I478" s="59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57"/>
      <c r="B479" s="57"/>
      <c r="C479" s="57"/>
      <c r="D479" s="57"/>
      <c r="E479" s="58"/>
      <c r="I479" s="59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57"/>
      <c r="B480" s="57"/>
      <c r="C480" s="57"/>
      <c r="D480" s="57"/>
      <c r="E480" s="58"/>
      <c r="I480" s="59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57"/>
      <c r="B481" s="57"/>
      <c r="C481" s="57"/>
      <c r="D481" s="57"/>
      <c r="E481" s="58"/>
      <c r="I481" s="59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57"/>
      <c r="B482" s="57"/>
      <c r="C482" s="57"/>
      <c r="D482" s="57"/>
      <c r="E482" s="58"/>
      <c r="I482" s="59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57"/>
      <c r="B483" s="57"/>
      <c r="C483" s="57"/>
      <c r="D483" s="57"/>
      <c r="E483" s="58"/>
      <c r="I483" s="59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57"/>
      <c r="B484" s="57"/>
      <c r="C484" s="57"/>
      <c r="D484" s="57"/>
      <c r="E484" s="58"/>
      <c r="I484" s="59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57"/>
      <c r="B485" s="57"/>
      <c r="C485" s="57"/>
      <c r="D485" s="57"/>
      <c r="E485" s="58"/>
      <c r="I485" s="59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57"/>
      <c r="B486" s="57"/>
      <c r="C486" s="57"/>
      <c r="D486" s="57"/>
      <c r="E486" s="58"/>
      <c r="I486" s="59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57"/>
      <c r="B487" s="57"/>
      <c r="C487" s="57"/>
      <c r="D487" s="57"/>
      <c r="E487" s="58"/>
      <c r="I487" s="59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57"/>
      <c r="B488" s="57"/>
      <c r="C488" s="57"/>
      <c r="D488" s="57"/>
      <c r="E488" s="58"/>
      <c r="I488" s="59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57"/>
      <c r="B489" s="57"/>
      <c r="C489" s="57"/>
      <c r="D489" s="57"/>
      <c r="E489" s="58"/>
      <c r="I489" s="59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57"/>
      <c r="B490" s="57"/>
      <c r="C490" s="57"/>
      <c r="D490" s="57"/>
      <c r="E490" s="58"/>
      <c r="I490" s="59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57"/>
      <c r="B491" s="57"/>
      <c r="C491" s="57"/>
      <c r="D491" s="57"/>
      <c r="E491" s="58"/>
      <c r="I491" s="59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57"/>
      <c r="B492" s="57"/>
      <c r="C492" s="57"/>
      <c r="D492" s="57"/>
      <c r="E492" s="58"/>
      <c r="I492" s="59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57"/>
      <c r="B493" s="57"/>
      <c r="C493" s="57"/>
      <c r="D493" s="57"/>
      <c r="E493" s="58"/>
      <c r="I493" s="59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57"/>
      <c r="B494" s="57"/>
      <c r="C494" s="57"/>
      <c r="D494" s="57"/>
      <c r="E494" s="58"/>
      <c r="I494" s="59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57"/>
      <c r="B495" s="57"/>
      <c r="C495" s="57"/>
      <c r="D495" s="57"/>
      <c r="E495" s="58"/>
      <c r="I495" s="59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57"/>
      <c r="B496" s="57"/>
      <c r="C496" s="57"/>
      <c r="D496" s="57"/>
      <c r="E496" s="58"/>
      <c r="I496" s="59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57"/>
      <c r="B497" s="57"/>
      <c r="C497" s="57"/>
      <c r="D497" s="57"/>
      <c r="E497" s="58"/>
      <c r="I497" s="59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57"/>
      <c r="B498" s="57"/>
      <c r="C498" s="57"/>
      <c r="D498" s="57"/>
      <c r="E498" s="58"/>
      <c r="I498" s="59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57"/>
      <c r="B499" s="57"/>
      <c r="C499" s="57"/>
      <c r="D499" s="57"/>
      <c r="E499" s="58"/>
      <c r="I499" s="59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57"/>
      <c r="B500" s="57"/>
      <c r="C500" s="57"/>
      <c r="D500" s="57"/>
      <c r="E500" s="58"/>
      <c r="I500" s="59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57"/>
      <c r="B501" s="57"/>
      <c r="C501" s="57"/>
      <c r="D501" s="57"/>
      <c r="E501" s="58"/>
      <c r="I501" s="59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57"/>
      <c r="B502" s="57"/>
      <c r="C502" s="57"/>
      <c r="D502" s="57"/>
      <c r="E502" s="58"/>
      <c r="I502" s="59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57"/>
      <c r="B503" s="57"/>
      <c r="C503" s="57"/>
      <c r="D503" s="57"/>
      <c r="E503" s="58"/>
      <c r="I503" s="59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57"/>
      <c r="B504" s="57"/>
      <c r="C504" s="57"/>
      <c r="D504" s="57"/>
      <c r="E504" s="58"/>
      <c r="I504" s="59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57"/>
      <c r="B505" s="57"/>
      <c r="C505" s="57"/>
      <c r="D505" s="57"/>
      <c r="E505" s="58"/>
      <c r="I505" s="59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57"/>
      <c r="B506" s="57"/>
      <c r="C506" s="57"/>
      <c r="D506" s="57"/>
      <c r="E506" s="58"/>
      <c r="I506" s="59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57"/>
      <c r="B507" s="57"/>
      <c r="C507" s="57"/>
      <c r="D507" s="57"/>
      <c r="E507" s="58"/>
      <c r="I507" s="59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57"/>
      <c r="B508" s="57"/>
      <c r="C508" s="57"/>
      <c r="D508" s="57"/>
      <c r="E508" s="58"/>
      <c r="I508" s="59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57"/>
      <c r="B509" s="57"/>
      <c r="C509" s="57"/>
      <c r="D509" s="57"/>
      <c r="E509" s="58"/>
      <c r="I509" s="59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57"/>
      <c r="B510" s="57"/>
      <c r="C510" s="57"/>
      <c r="D510" s="57"/>
      <c r="E510" s="58"/>
      <c r="I510" s="59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57"/>
      <c r="B511" s="57"/>
      <c r="C511" s="57"/>
      <c r="D511" s="57"/>
      <c r="E511" s="58"/>
      <c r="I511" s="59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57"/>
      <c r="B512" s="57"/>
      <c r="C512" s="57"/>
      <c r="D512" s="57"/>
      <c r="E512" s="58"/>
      <c r="I512" s="59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57"/>
      <c r="B513" s="57"/>
      <c r="C513" s="57"/>
      <c r="D513" s="57"/>
      <c r="E513" s="58"/>
      <c r="I513" s="59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57"/>
      <c r="B514" s="57"/>
      <c r="C514" s="57"/>
      <c r="D514" s="57"/>
      <c r="E514" s="58"/>
      <c r="I514" s="59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57"/>
      <c r="B515" s="57"/>
      <c r="C515" s="57"/>
      <c r="D515" s="57"/>
      <c r="E515" s="58"/>
      <c r="I515" s="59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57"/>
      <c r="B516" s="57"/>
      <c r="C516" s="57"/>
      <c r="D516" s="57"/>
      <c r="E516" s="58"/>
      <c r="I516" s="59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57"/>
      <c r="B517" s="57"/>
      <c r="C517" s="57"/>
      <c r="D517" s="57"/>
      <c r="E517" s="58"/>
      <c r="I517" s="59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57"/>
      <c r="B518" s="57"/>
      <c r="C518" s="57"/>
      <c r="D518" s="57"/>
      <c r="E518" s="58"/>
      <c r="I518" s="59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57"/>
      <c r="B519" s="57"/>
      <c r="C519" s="57"/>
      <c r="D519" s="57"/>
      <c r="E519" s="58"/>
      <c r="I519" s="59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57"/>
      <c r="B520" s="57"/>
      <c r="C520" s="57"/>
      <c r="D520" s="57"/>
      <c r="E520" s="58"/>
      <c r="I520" s="59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57"/>
      <c r="B521" s="57"/>
      <c r="C521" s="57"/>
      <c r="D521" s="57"/>
      <c r="E521" s="58"/>
      <c r="I521" s="59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57"/>
      <c r="B522" s="57"/>
      <c r="C522" s="57"/>
      <c r="D522" s="57"/>
      <c r="E522" s="58"/>
      <c r="I522" s="59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57"/>
      <c r="B523" s="57"/>
      <c r="C523" s="57"/>
      <c r="D523" s="57"/>
      <c r="E523" s="58"/>
      <c r="I523" s="59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57"/>
      <c r="B524" s="57"/>
      <c r="C524" s="57"/>
      <c r="D524" s="57"/>
      <c r="E524" s="58"/>
      <c r="I524" s="59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57"/>
      <c r="B525" s="57"/>
      <c r="C525" s="57"/>
      <c r="D525" s="57"/>
      <c r="E525" s="58"/>
      <c r="I525" s="59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57"/>
      <c r="B526" s="57"/>
      <c r="C526" s="57"/>
      <c r="D526" s="57"/>
      <c r="E526" s="58"/>
      <c r="I526" s="59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57"/>
      <c r="B527" s="57"/>
      <c r="C527" s="57"/>
      <c r="D527" s="57"/>
      <c r="E527" s="58"/>
      <c r="I527" s="59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57"/>
      <c r="B528" s="57"/>
      <c r="C528" s="57"/>
      <c r="D528" s="57"/>
      <c r="E528" s="58"/>
      <c r="I528" s="59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57"/>
      <c r="B529" s="57"/>
      <c r="C529" s="57"/>
      <c r="D529" s="57"/>
      <c r="E529" s="58"/>
      <c r="I529" s="59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57"/>
      <c r="B530" s="57"/>
      <c r="C530" s="57"/>
      <c r="D530" s="57"/>
      <c r="E530" s="58"/>
      <c r="I530" s="59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57"/>
      <c r="B531" s="57"/>
      <c r="C531" s="57"/>
      <c r="D531" s="57"/>
      <c r="E531" s="58"/>
      <c r="I531" s="59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57"/>
      <c r="B532" s="57"/>
      <c r="C532" s="57"/>
      <c r="D532" s="57"/>
      <c r="E532" s="58"/>
      <c r="I532" s="59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57"/>
      <c r="B533" s="57"/>
      <c r="C533" s="57"/>
      <c r="D533" s="57"/>
      <c r="E533" s="58"/>
      <c r="I533" s="59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57"/>
      <c r="B534" s="57"/>
      <c r="C534" s="57"/>
      <c r="D534" s="57"/>
      <c r="E534" s="58"/>
      <c r="I534" s="59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57"/>
      <c r="B535" s="57"/>
      <c r="C535" s="57"/>
      <c r="D535" s="57"/>
      <c r="E535" s="58"/>
      <c r="I535" s="59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57"/>
      <c r="B536" s="57"/>
      <c r="C536" s="57"/>
      <c r="D536" s="57"/>
      <c r="E536" s="58"/>
      <c r="I536" s="59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57"/>
      <c r="B537" s="57"/>
      <c r="C537" s="57"/>
      <c r="D537" s="57"/>
      <c r="E537" s="58"/>
      <c r="I537" s="59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57"/>
      <c r="B538" s="57"/>
      <c r="C538" s="57"/>
      <c r="D538" s="57"/>
      <c r="E538" s="58"/>
      <c r="I538" s="59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57"/>
      <c r="B539" s="57"/>
      <c r="C539" s="57"/>
      <c r="D539" s="57"/>
      <c r="E539" s="58"/>
      <c r="I539" s="59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57"/>
      <c r="B540" s="57"/>
      <c r="C540" s="57"/>
      <c r="D540" s="57"/>
      <c r="E540" s="58"/>
      <c r="I540" s="59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57"/>
      <c r="B541" s="57"/>
      <c r="C541" s="57"/>
      <c r="D541" s="57"/>
      <c r="E541" s="58"/>
      <c r="I541" s="59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57"/>
      <c r="B542" s="57"/>
      <c r="C542" s="57"/>
      <c r="D542" s="57"/>
      <c r="E542" s="58"/>
      <c r="I542" s="59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57"/>
      <c r="B543" s="57"/>
      <c r="C543" s="57"/>
      <c r="D543" s="57"/>
      <c r="E543" s="58"/>
      <c r="I543" s="59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57"/>
      <c r="B544" s="57"/>
      <c r="C544" s="57"/>
      <c r="D544" s="57"/>
      <c r="E544" s="58"/>
      <c r="I544" s="59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57"/>
      <c r="B545" s="57"/>
      <c r="C545" s="57"/>
      <c r="D545" s="57"/>
      <c r="E545" s="58"/>
      <c r="I545" s="59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57"/>
      <c r="B546" s="57"/>
      <c r="C546" s="57"/>
      <c r="D546" s="57"/>
      <c r="E546" s="58"/>
      <c r="I546" s="59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57"/>
      <c r="B547" s="57"/>
      <c r="C547" s="57"/>
      <c r="D547" s="57"/>
      <c r="E547" s="58"/>
      <c r="I547" s="59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57"/>
      <c r="B548" s="57"/>
      <c r="C548" s="57"/>
      <c r="D548" s="57"/>
      <c r="E548" s="58"/>
      <c r="I548" s="59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57"/>
      <c r="B549" s="57"/>
      <c r="C549" s="57"/>
      <c r="D549" s="57"/>
      <c r="E549" s="58"/>
      <c r="I549" s="59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57"/>
      <c r="B550" s="57"/>
      <c r="C550" s="57"/>
      <c r="D550" s="57"/>
      <c r="E550" s="58"/>
      <c r="I550" s="59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57"/>
      <c r="B551" s="57"/>
      <c r="C551" s="57"/>
      <c r="D551" s="57"/>
      <c r="E551" s="58"/>
      <c r="I551" s="59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57"/>
      <c r="B552" s="57"/>
      <c r="C552" s="57"/>
      <c r="D552" s="57"/>
      <c r="E552" s="58"/>
      <c r="I552" s="59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57"/>
      <c r="B553" s="57"/>
      <c r="C553" s="57"/>
      <c r="D553" s="57"/>
      <c r="E553" s="58"/>
      <c r="I553" s="59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57"/>
      <c r="B554" s="57"/>
      <c r="C554" s="57"/>
      <c r="D554" s="57"/>
      <c r="E554" s="58"/>
      <c r="I554" s="59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57"/>
      <c r="B555" s="57"/>
      <c r="C555" s="57"/>
      <c r="D555" s="57"/>
      <c r="E555" s="58"/>
      <c r="I555" s="59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57"/>
      <c r="B556" s="57"/>
      <c r="C556" s="57"/>
      <c r="D556" s="57"/>
      <c r="E556" s="58"/>
      <c r="I556" s="59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57"/>
      <c r="B557" s="57"/>
      <c r="C557" s="57"/>
      <c r="D557" s="57"/>
      <c r="E557" s="58"/>
      <c r="I557" s="59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57"/>
      <c r="B558" s="57"/>
      <c r="C558" s="57"/>
      <c r="D558" s="57"/>
      <c r="E558" s="58"/>
      <c r="I558" s="59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57"/>
      <c r="B559" s="57"/>
      <c r="C559" s="57"/>
      <c r="D559" s="57"/>
      <c r="E559" s="58"/>
      <c r="I559" s="59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57"/>
      <c r="B560" s="57"/>
      <c r="C560" s="57"/>
      <c r="D560" s="57"/>
      <c r="E560" s="58"/>
      <c r="I560" s="59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57"/>
      <c r="B561" s="57"/>
      <c r="C561" s="57"/>
      <c r="D561" s="57"/>
      <c r="E561" s="58"/>
      <c r="I561" s="59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57"/>
      <c r="B562" s="57"/>
      <c r="C562" s="57"/>
      <c r="D562" s="57"/>
      <c r="E562" s="58"/>
      <c r="I562" s="59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57"/>
      <c r="B563" s="57"/>
      <c r="C563" s="57"/>
      <c r="D563" s="57"/>
      <c r="E563" s="58"/>
      <c r="I563" s="59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57"/>
      <c r="B564" s="57"/>
      <c r="C564" s="57"/>
      <c r="D564" s="57"/>
      <c r="E564" s="58"/>
      <c r="I564" s="59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57"/>
      <c r="B565" s="57"/>
      <c r="C565" s="57"/>
      <c r="D565" s="57"/>
      <c r="E565" s="58"/>
      <c r="I565" s="59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57"/>
      <c r="B566" s="57"/>
      <c r="C566" s="57"/>
      <c r="D566" s="57"/>
      <c r="E566" s="58"/>
      <c r="I566" s="59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57"/>
      <c r="B567" s="57"/>
      <c r="C567" s="57"/>
      <c r="D567" s="57"/>
      <c r="E567" s="58"/>
      <c r="I567" s="59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57"/>
      <c r="B568" s="57"/>
      <c r="C568" s="57"/>
      <c r="D568" s="57"/>
      <c r="E568" s="58"/>
      <c r="I568" s="59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57"/>
      <c r="B569" s="57"/>
      <c r="C569" s="57"/>
      <c r="D569" s="57"/>
      <c r="E569" s="58"/>
      <c r="I569" s="59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57"/>
      <c r="B570" s="57"/>
      <c r="C570" s="57"/>
      <c r="D570" s="57"/>
      <c r="E570" s="58"/>
      <c r="I570" s="59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57"/>
      <c r="B571" s="57"/>
      <c r="C571" s="57"/>
      <c r="D571" s="57"/>
      <c r="E571" s="58"/>
      <c r="I571" s="59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57"/>
      <c r="B572" s="57"/>
      <c r="C572" s="57"/>
      <c r="D572" s="57"/>
      <c r="E572" s="58"/>
      <c r="I572" s="59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57"/>
      <c r="B573" s="57"/>
      <c r="C573" s="57"/>
      <c r="D573" s="57"/>
      <c r="E573" s="58"/>
      <c r="I573" s="59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57"/>
      <c r="B574" s="57"/>
      <c r="C574" s="57"/>
      <c r="D574" s="57"/>
      <c r="E574" s="58"/>
      <c r="I574" s="59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57"/>
      <c r="B575" s="57"/>
      <c r="C575" s="57"/>
      <c r="D575" s="57"/>
      <c r="E575" s="58"/>
      <c r="I575" s="59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57"/>
      <c r="B576" s="57"/>
      <c r="C576" s="57"/>
      <c r="D576" s="57"/>
      <c r="E576" s="58"/>
      <c r="I576" s="59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57"/>
      <c r="B577" s="57"/>
      <c r="C577" s="57"/>
      <c r="D577" s="57"/>
      <c r="E577" s="58"/>
      <c r="I577" s="59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57"/>
      <c r="B578" s="57"/>
      <c r="C578" s="57"/>
      <c r="D578" s="57"/>
      <c r="E578" s="58"/>
      <c r="I578" s="59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57"/>
      <c r="B579" s="57"/>
      <c r="C579" s="57"/>
      <c r="D579" s="57"/>
      <c r="E579" s="58"/>
      <c r="I579" s="59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57"/>
      <c r="B580" s="57"/>
      <c r="C580" s="57"/>
      <c r="D580" s="57"/>
      <c r="E580" s="58"/>
      <c r="I580" s="59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57"/>
      <c r="B581" s="57"/>
      <c r="C581" s="57"/>
      <c r="D581" s="57"/>
      <c r="E581" s="58"/>
      <c r="I581" s="59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57"/>
      <c r="B582" s="57"/>
      <c r="C582" s="57"/>
      <c r="D582" s="57"/>
      <c r="E582" s="58"/>
      <c r="I582" s="59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57"/>
      <c r="B583" s="57"/>
      <c r="C583" s="57"/>
      <c r="D583" s="57"/>
      <c r="E583" s="58"/>
      <c r="I583" s="59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57"/>
      <c r="B584" s="57"/>
      <c r="C584" s="57"/>
      <c r="D584" s="57"/>
      <c r="E584" s="58"/>
      <c r="I584" s="59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57"/>
      <c r="B585" s="57"/>
      <c r="C585" s="57"/>
      <c r="D585" s="57"/>
      <c r="E585" s="58"/>
      <c r="I585" s="59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57"/>
      <c r="B586" s="57"/>
      <c r="C586" s="57"/>
      <c r="D586" s="57"/>
      <c r="E586" s="58"/>
      <c r="I586" s="59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57"/>
      <c r="B587" s="57"/>
      <c r="C587" s="57"/>
      <c r="D587" s="57"/>
      <c r="E587" s="58"/>
      <c r="I587" s="59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57"/>
      <c r="B588" s="57"/>
      <c r="C588" s="57"/>
      <c r="D588" s="57"/>
      <c r="E588" s="58"/>
      <c r="I588" s="59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57"/>
      <c r="B589" s="57"/>
      <c r="C589" s="57"/>
      <c r="D589" s="57"/>
      <c r="E589" s="58"/>
      <c r="I589" s="59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57"/>
      <c r="B590" s="57"/>
      <c r="C590" s="57"/>
      <c r="D590" s="57"/>
      <c r="E590" s="58"/>
      <c r="I590" s="59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57"/>
      <c r="B591" s="57"/>
      <c r="C591" s="57"/>
      <c r="D591" s="57"/>
      <c r="E591" s="58"/>
      <c r="I591" s="59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57"/>
      <c r="B592" s="57"/>
      <c r="C592" s="57"/>
      <c r="D592" s="57"/>
      <c r="E592" s="58"/>
      <c r="I592" s="59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57"/>
      <c r="B593" s="57"/>
      <c r="C593" s="57"/>
      <c r="D593" s="57"/>
      <c r="E593" s="58"/>
      <c r="I593" s="59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57"/>
      <c r="B594" s="57"/>
      <c r="C594" s="57"/>
      <c r="D594" s="57"/>
      <c r="E594" s="58"/>
      <c r="I594" s="59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57"/>
      <c r="B595" s="57"/>
      <c r="C595" s="57"/>
      <c r="D595" s="57"/>
      <c r="E595" s="58"/>
      <c r="I595" s="59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57"/>
      <c r="B596" s="57"/>
      <c r="C596" s="57"/>
      <c r="D596" s="57"/>
      <c r="E596" s="58"/>
      <c r="I596" s="59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57"/>
      <c r="B597" s="57"/>
      <c r="C597" s="57"/>
      <c r="D597" s="57"/>
      <c r="E597" s="58"/>
      <c r="I597" s="59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57"/>
      <c r="B598" s="57"/>
      <c r="C598" s="57"/>
      <c r="D598" s="57"/>
      <c r="E598" s="58"/>
      <c r="I598" s="59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57"/>
      <c r="B599" s="57"/>
      <c r="C599" s="57"/>
      <c r="D599" s="57"/>
      <c r="E599" s="58"/>
      <c r="I599" s="59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57"/>
      <c r="B600" s="57"/>
      <c r="C600" s="57"/>
      <c r="D600" s="57"/>
      <c r="E600" s="58"/>
      <c r="I600" s="59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57"/>
      <c r="B601" s="57"/>
      <c r="C601" s="57"/>
      <c r="D601" s="57"/>
      <c r="E601" s="58"/>
      <c r="I601" s="59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57"/>
      <c r="B602" s="57"/>
      <c r="C602" s="57"/>
      <c r="D602" s="57"/>
      <c r="E602" s="58"/>
      <c r="I602" s="59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57"/>
      <c r="B603" s="57"/>
      <c r="C603" s="57"/>
      <c r="D603" s="57"/>
      <c r="E603" s="58"/>
      <c r="I603" s="59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57"/>
      <c r="B604" s="57"/>
      <c r="C604" s="57"/>
      <c r="D604" s="57"/>
      <c r="E604" s="58"/>
      <c r="I604" s="59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57"/>
      <c r="B605" s="57"/>
      <c r="C605" s="57"/>
      <c r="D605" s="57"/>
      <c r="E605" s="58"/>
      <c r="I605" s="59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57"/>
      <c r="B606" s="57"/>
      <c r="C606" s="57"/>
      <c r="D606" s="57"/>
      <c r="E606" s="58"/>
      <c r="I606" s="59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57"/>
      <c r="B607" s="57"/>
      <c r="C607" s="57"/>
      <c r="D607" s="57"/>
      <c r="E607" s="58"/>
      <c r="I607" s="59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57"/>
      <c r="B608" s="57"/>
      <c r="C608" s="57"/>
      <c r="D608" s="57"/>
      <c r="E608" s="58"/>
      <c r="I608" s="59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57"/>
      <c r="B609" s="57"/>
      <c r="C609" s="57"/>
      <c r="D609" s="57"/>
      <c r="E609" s="58"/>
      <c r="I609" s="59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57"/>
      <c r="B610" s="57"/>
      <c r="C610" s="57"/>
      <c r="D610" s="57"/>
      <c r="E610" s="58"/>
      <c r="I610" s="59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57"/>
      <c r="B611" s="57"/>
      <c r="C611" s="57"/>
      <c r="D611" s="57"/>
      <c r="E611" s="58"/>
      <c r="I611" s="59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57"/>
      <c r="B612" s="57"/>
      <c r="C612" s="57"/>
      <c r="D612" s="57"/>
      <c r="E612" s="58"/>
      <c r="I612" s="59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57"/>
      <c r="B613" s="57"/>
      <c r="C613" s="57"/>
      <c r="D613" s="57"/>
      <c r="E613" s="58"/>
      <c r="I613" s="59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57"/>
      <c r="B614" s="57"/>
      <c r="C614" s="57"/>
      <c r="D614" s="57"/>
      <c r="E614" s="58"/>
      <c r="I614" s="59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57"/>
      <c r="B615" s="57"/>
      <c r="C615" s="57"/>
      <c r="D615" s="57"/>
      <c r="E615" s="58"/>
      <c r="I615" s="59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57"/>
      <c r="B616" s="57"/>
      <c r="C616" s="57"/>
      <c r="D616" s="57"/>
      <c r="E616" s="58"/>
      <c r="I616" s="59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57"/>
      <c r="B617" s="57"/>
      <c r="C617" s="57"/>
      <c r="D617" s="57"/>
      <c r="E617" s="58"/>
      <c r="I617" s="59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57"/>
      <c r="B618" s="57"/>
      <c r="C618" s="57"/>
      <c r="D618" s="57"/>
      <c r="E618" s="58"/>
      <c r="I618" s="59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57"/>
      <c r="B619" s="57"/>
      <c r="C619" s="57"/>
      <c r="D619" s="57"/>
      <c r="E619" s="58"/>
      <c r="I619" s="59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57"/>
      <c r="B620" s="57"/>
      <c r="C620" s="57"/>
      <c r="D620" s="57"/>
      <c r="E620" s="58"/>
      <c r="I620" s="59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57"/>
      <c r="B621" s="57"/>
      <c r="C621" s="57"/>
      <c r="D621" s="57"/>
      <c r="E621" s="58"/>
      <c r="I621" s="59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57"/>
      <c r="B622" s="57"/>
      <c r="C622" s="57"/>
      <c r="D622" s="57"/>
      <c r="E622" s="58"/>
      <c r="I622" s="59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57"/>
      <c r="B623" s="57"/>
      <c r="C623" s="57"/>
      <c r="D623" s="57"/>
      <c r="E623" s="58"/>
      <c r="I623" s="59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57"/>
      <c r="B624" s="57"/>
      <c r="C624" s="57"/>
      <c r="D624" s="57"/>
      <c r="E624" s="58"/>
      <c r="I624" s="59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57"/>
      <c r="B625" s="57"/>
      <c r="C625" s="57"/>
      <c r="D625" s="57"/>
      <c r="E625" s="58"/>
      <c r="I625" s="59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57"/>
      <c r="B626" s="57"/>
      <c r="C626" s="57"/>
      <c r="D626" s="57"/>
      <c r="E626" s="58"/>
      <c r="I626" s="59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57"/>
      <c r="B627" s="57"/>
      <c r="C627" s="57"/>
      <c r="D627" s="57"/>
      <c r="E627" s="58"/>
      <c r="I627" s="59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57"/>
      <c r="B628" s="57"/>
      <c r="C628" s="57"/>
      <c r="D628" s="57"/>
      <c r="E628" s="58"/>
      <c r="I628" s="59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57"/>
      <c r="B629" s="57"/>
      <c r="C629" s="57"/>
      <c r="D629" s="57"/>
      <c r="E629" s="58"/>
      <c r="I629" s="59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57"/>
      <c r="B630" s="57"/>
      <c r="C630" s="57"/>
      <c r="D630" s="57"/>
      <c r="E630" s="58"/>
      <c r="I630" s="59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57"/>
      <c r="B631" s="57"/>
      <c r="C631" s="57"/>
      <c r="D631" s="57"/>
      <c r="E631" s="58"/>
      <c r="I631" s="59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57"/>
      <c r="B632" s="57"/>
      <c r="C632" s="57"/>
      <c r="D632" s="57"/>
      <c r="E632" s="58"/>
      <c r="I632" s="59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57"/>
      <c r="B633" s="57"/>
      <c r="C633" s="57"/>
      <c r="D633" s="57"/>
      <c r="E633" s="58"/>
      <c r="I633" s="59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57"/>
      <c r="B634" s="57"/>
      <c r="C634" s="57"/>
      <c r="D634" s="57"/>
      <c r="E634" s="58"/>
      <c r="I634" s="59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57"/>
      <c r="B635" s="57"/>
      <c r="C635" s="57"/>
      <c r="D635" s="57"/>
      <c r="E635" s="58"/>
      <c r="I635" s="59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57"/>
      <c r="B636" s="57"/>
      <c r="C636" s="57"/>
      <c r="D636" s="57"/>
      <c r="E636" s="58"/>
      <c r="I636" s="59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57"/>
      <c r="B637" s="57"/>
      <c r="C637" s="57"/>
      <c r="D637" s="57"/>
      <c r="E637" s="58"/>
      <c r="I637" s="59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57"/>
      <c r="B638" s="57"/>
      <c r="C638" s="57"/>
      <c r="D638" s="57"/>
      <c r="E638" s="58"/>
      <c r="I638" s="59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57"/>
      <c r="B639" s="57"/>
      <c r="C639" s="57"/>
      <c r="D639" s="57"/>
      <c r="E639" s="58"/>
      <c r="I639" s="59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57"/>
      <c r="B640" s="57"/>
      <c r="C640" s="57"/>
      <c r="D640" s="57"/>
      <c r="E640" s="58"/>
      <c r="I640" s="59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57"/>
      <c r="B641" s="57"/>
      <c r="C641" s="57"/>
      <c r="D641" s="57"/>
      <c r="E641" s="58"/>
      <c r="I641" s="59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57"/>
      <c r="B642" s="57"/>
      <c r="C642" s="57"/>
      <c r="D642" s="57"/>
      <c r="E642" s="58"/>
      <c r="I642" s="59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57"/>
      <c r="B643" s="57"/>
      <c r="C643" s="57"/>
      <c r="D643" s="57"/>
      <c r="E643" s="58"/>
      <c r="I643" s="59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57"/>
      <c r="B644" s="57"/>
      <c r="C644" s="57"/>
      <c r="D644" s="57"/>
      <c r="E644" s="58"/>
      <c r="I644" s="59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57"/>
      <c r="B645" s="57"/>
      <c r="C645" s="57"/>
      <c r="D645" s="57"/>
      <c r="E645" s="58"/>
      <c r="I645" s="59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57"/>
      <c r="B646" s="57"/>
      <c r="C646" s="57"/>
      <c r="D646" s="57"/>
      <c r="E646" s="58"/>
      <c r="I646" s="59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57"/>
      <c r="B647" s="57"/>
      <c r="C647" s="57"/>
      <c r="D647" s="57"/>
      <c r="E647" s="58"/>
      <c r="I647" s="59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57"/>
      <c r="B648" s="57"/>
      <c r="C648" s="57"/>
      <c r="D648" s="57"/>
      <c r="E648" s="58"/>
      <c r="I648" s="59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57"/>
      <c r="B649" s="57"/>
      <c r="C649" s="57"/>
      <c r="D649" s="57"/>
      <c r="E649" s="58"/>
      <c r="I649" s="59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57"/>
      <c r="B650" s="57"/>
      <c r="C650" s="57"/>
      <c r="D650" s="57"/>
      <c r="E650" s="58"/>
      <c r="I650" s="59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57"/>
      <c r="B651" s="57"/>
      <c r="C651" s="57"/>
      <c r="D651" s="57"/>
      <c r="E651" s="58"/>
      <c r="I651" s="59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57"/>
      <c r="B652" s="57"/>
      <c r="C652" s="57"/>
      <c r="D652" s="57"/>
      <c r="E652" s="58"/>
      <c r="I652" s="59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57"/>
      <c r="B653" s="57"/>
      <c r="C653" s="57"/>
      <c r="D653" s="57"/>
      <c r="E653" s="58"/>
      <c r="I653" s="59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57"/>
      <c r="B654" s="57"/>
      <c r="C654" s="57"/>
      <c r="D654" s="57"/>
      <c r="E654" s="58"/>
      <c r="I654" s="59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57"/>
      <c r="B655" s="57"/>
      <c r="C655" s="57"/>
      <c r="D655" s="57"/>
      <c r="E655" s="58"/>
      <c r="I655" s="59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57"/>
      <c r="B656" s="57"/>
      <c r="C656" s="57"/>
      <c r="D656" s="57"/>
      <c r="E656" s="58"/>
      <c r="I656" s="59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57"/>
      <c r="B657" s="57"/>
      <c r="C657" s="57"/>
      <c r="D657" s="57"/>
      <c r="E657" s="58"/>
      <c r="I657" s="59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57"/>
      <c r="B658" s="57"/>
      <c r="C658" s="57"/>
      <c r="D658" s="57"/>
      <c r="E658" s="58"/>
      <c r="I658" s="59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57"/>
      <c r="B659" s="57"/>
      <c r="C659" s="57"/>
      <c r="D659" s="57"/>
      <c r="E659" s="58"/>
      <c r="I659" s="59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57"/>
      <c r="B660" s="57"/>
      <c r="C660" s="57"/>
      <c r="D660" s="57"/>
      <c r="E660" s="58"/>
      <c r="I660" s="59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57"/>
      <c r="B661" s="57"/>
      <c r="C661" s="57"/>
      <c r="D661" s="57"/>
      <c r="E661" s="58"/>
      <c r="I661" s="59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57"/>
      <c r="B662" s="57"/>
      <c r="C662" s="57"/>
      <c r="D662" s="57"/>
      <c r="E662" s="58"/>
      <c r="I662" s="59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57"/>
      <c r="B663" s="57"/>
      <c r="C663" s="57"/>
      <c r="D663" s="57"/>
      <c r="E663" s="58"/>
      <c r="I663" s="59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57"/>
      <c r="B664" s="57"/>
      <c r="C664" s="57"/>
      <c r="D664" s="57"/>
      <c r="E664" s="58"/>
      <c r="I664" s="59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57"/>
      <c r="B665" s="57"/>
      <c r="C665" s="57"/>
      <c r="D665" s="57"/>
      <c r="E665" s="58"/>
      <c r="I665" s="59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57"/>
      <c r="B666" s="57"/>
      <c r="C666" s="57"/>
      <c r="D666" s="57"/>
      <c r="E666" s="58"/>
      <c r="I666" s="59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57"/>
      <c r="B667" s="57"/>
      <c r="C667" s="57"/>
      <c r="D667" s="57"/>
      <c r="E667" s="58"/>
      <c r="I667" s="59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57"/>
      <c r="B668" s="57"/>
      <c r="C668" s="57"/>
      <c r="D668" s="57"/>
      <c r="E668" s="58"/>
      <c r="I668" s="59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57"/>
      <c r="B669" s="57"/>
      <c r="C669" s="57"/>
      <c r="D669" s="57"/>
      <c r="E669" s="58"/>
      <c r="I669" s="59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57"/>
      <c r="B670" s="57"/>
      <c r="C670" s="57"/>
      <c r="D670" s="57"/>
      <c r="E670" s="58"/>
      <c r="I670" s="59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57"/>
      <c r="B671" s="57"/>
      <c r="C671" s="57"/>
      <c r="D671" s="57"/>
      <c r="E671" s="58"/>
      <c r="I671" s="59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57"/>
      <c r="B672" s="57"/>
      <c r="C672" s="57"/>
      <c r="D672" s="57"/>
      <c r="E672" s="58"/>
      <c r="I672" s="59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57"/>
      <c r="B673" s="57"/>
      <c r="C673" s="57"/>
      <c r="D673" s="57"/>
      <c r="E673" s="58"/>
      <c r="I673" s="59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57"/>
      <c r="B674" s="57"/>
      <c r="C674" s="57"/>
      <c r="D674" s="57"/>
      <c r="E674" s="58"/>
      <c r="I674" s="59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57"/>
      <c r="B675" s="57"/>
      <c r="C675" s="57"/>
      <c r="D675" s="57"/>
      <c r="E675" s="58"/>
      <c r="I675" s="59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57"/>
      <c r="B676" s="57"/>
      <c r="C676" s="57"/>
      <c r="D676" s="57"/>
      <c r="E676" s="58"/>
      <c r="I676" s="59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57"/>
      <c r="B677" s="57"/>
      <c r="C677" s="57"/>
      <c r="D677" s="57"/>
      <c r="E677" s="58"/>
      <c r="I677" s="59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57"/>
      <c r="B678" s="57"/>
      <c r="C678" s="57"/>
      <c r="D678" s="57"/>
      <c r="E678" s="58"/>
      <c r="I678" s="59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57"/>
      <c r="B679" s="57"/>
      <c r="C679" s="57"/>
      <c r="D679" s="57"/>
      <c r="E679" s="58"/>
      <c r="I679" s="59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57"/>
      <c r="B680" s="57"/>
      <c r="C680" s="57"/>
      <c r="D680" s="57"/>
      <c r="E680" s="58"/>
      <c r="I680" s="59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57"/>
      <c r="B681" s="57"/>
      <c r="C681" s="57"/>
      <c r="D681" s="57"/>
      <c r="E681" s="58"/>
      <c r="I681" s="59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57"/>
      <c r="B682" s="57"/>
      <c r="C682" s="57"/>
      <c r="D682" s="57"/>
      <c r="E682" s="58"/>
      <c r="I682" s="59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57"/>
      <c r="B683" s="57"/>
      <c r="C683" s="57"/>
      <c r="D683" s="57"/>
      <c r="E683" s="58"/>
      <c r="I683" s="59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57"/>
      <c r="B684" s="57"/>
      <c r="C684" s="57"/>
      <c r="D684" s="57"/>
      <c r="E684" s="58"/>
      <c r="I684" s="59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57"/>
      <c r="B685" s="57"/>
      <c r="C685" s="57"/>
      <c r="D685" s="57"/>
      <c r="E685" s="58"/>
      <c r="I685" s="59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57"/>
      <c r="B686" s="57"/>
      <c r="C686" s="57"/>
      <c r="D686" s="57"/>
      <c r="E686" s="58"/>
      <c r="I686" s="59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57"/>
      <c r="B687" s="57"/>
      <c r="C687" s="57"/>
      <c r="D687" s="57"/>
      <c r="E687" s="58"/>
      <c r="I687" s="59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57"/>
      <c r="B688" s="57"/>
      <c r="C688" s="57"/>
      <c r="D688" s="57"/>
      <c r="E688" s="58"/>
      <c r="I688" s="59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57"/>
      <c r="B689" s="57"/>
      <c r="C689" s="57"/>
      <c r="D689" s="57"/>
      <c r="E689" s="58"/>
      <c r="I689" s="59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57"/>
      <c r="B690" s="57"/>
      <c r="C690" s="57"/>
      <c r="D690" s="57"/>
      <c r="E690" s="58"/>
      <c r="I690" s="59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57"/>
      <c r="B691" s="57"/>
      <c r="C691" s="57"/>
      <c r="D691" s="57"/>
      <c r="E691" s="58"/>
      <c r="I691" s="59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57"/>
      <c r="B692" s="57"/>
      <c r="C692" s="57"/>
      <c r="D692" s="57"/>
      <c r="E692" s="58"/>
      <c r="I692" s="59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57"/>
      <c r="B693" s="57"/>
      <c r="C693" s="57"/>
      <c r="D693" s="57"/>
      <c r="E693" s="58"/>
      <c r="I693" s="59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57"/>
      <c r="B694" s="57"/>
      <c r="C694" s="57"/>
      <c r="D694" s="57"/>
      <c r="E694" s="58"/>
      <c r="I694" s="59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57"/>
      <c r="B695" s="57"/>
      <c r="C695" s="57"/>
      <c r="D695" s="57"/>
      <c r="E695" s="58"/>
      <c r="I695" s="59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57"/>
      <c r="B696" s="57"/>
      <c r="C696" s="57"/>
      <c r="D696" s="57"/>
      <c r="E696" s="58"/>
      <c r="I696" s="59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57"/>
      <c r="B697" s="57"/>
      <c r="C697" s="57"/>
      <c r="D697" s="57"/>
      <c r="E697" s="58"/>
      <c r="I697" s="59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57"/>
      <c r="B698" s="57"/>
      <c r="C698" s="57"/>
      <c r="D698" s="57"/>
      <c r="E698" s="58"/>
      <c r="I698" s="59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57"/>
      <c r="B699" s="57"/>
      <c r="C699" s="57"/>
      <c r="D699" s="57"/>
      <c r="E699" s="58"/>
      <c r="I699" s="59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57"/>
      <c r="B700" s="57"/>
      <c r="C700" s="57"/>
      <c r="D700" s="57"/>
      <c r="E700" s="58"/>
      <c r="I700" s="59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57"/>
      <c r="B701" s="57"/>
      <c r="C701" s="57"/>
      <c r="D701" s="57"/>
      <c r="E701" s="58"/>
      <c r="I701" s="59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57"/>
      <c r="B702" s="57"/>
      <c r="C702" s="57"/>
      <c r="D702" s="57"/>
      <c r="E702" s="58"/>
      <c r="I702" s="59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57"/>
      <c r="B703" s="57"/>
      <c r="C703" s="57"/>
      <c r="D703" s="57"/>
      <c r="E703" s="58"/>
      <c r="I703" s="59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57"/>
      <c r="B704" s="57"/>
      <c r="C704" s="57"/>
      <c r="D704" s="57"/>
      <c r="E704" s="58"/>
      <c r="I704" s="59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57"/>
      <c r="B705" s="57"/>
      <c r="C705" s="57"/>
      <c r="D705" s="57"/>
      <c r="E705" s="58"/>
      <c r="I705" s="59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57"/>
      <c r="B706" s="57"/>
      <c r="C706" s="57"/>
      <c r="D706" s="57"/>
      <c r="E706" s="58"/>
      <c r="I706" s="59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57"/>
      <c r="B707" s="57"/>
      <c r="C707" s="57"/>
      <c r="D707" s="57"/>
      <c r="E707" s="58"/>
      <c r="I707" s="59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57"/>
      <c r="B708" s="57"/>
      <c r="C708" s="57"/>
      <c r="D708" s="57"/>
      <c r="E708" s="58"/>
      <c r="I708" s="59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57"/>
      <c r="B709" s="57"/>
      <c r="C709" s="57"/>
      <c r="D709" s="57"/>
      <c r="E709" s="58"/>
      <c r="I709" s="59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57"/>
      <c r="B710" s="57"/>
      <c r="C710" s="57"/>
      <c r="D710" s="57"/>
      <c r="E710" s="58"/>
      <c r="I710" s="59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57"/>
      <c r="B711" s="57"/>
      <c r="C711" s="57"/>
      <c r="D711" s="57"/>
      <c r="E711" s="58"/>
      <c r="I711" s="59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57"/>
      <c r="B712" s="57"/>
      <c r="C712" s="57"/>
      <c r="D712" s="57"/>
      <c r="E712" s="58"/>
      <c r="I712" s="59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57"/>
      <c r="B713" s="57"/>
      <c r="C713" s="57"/>
      <c r="D713" s="57"/>
      <c r="E713" s="58"/>
      <c r="I713" s="59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57"/>
      <c r="B714" s="57"/>
      <c r="C714" s="57"/>
      <c r="D714" s="57"/>
      <c r="E714" s="58"/>
      <c r="I714" s="59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57"/>
      <c r="B715" s="57"/>
      <c r="C715" s="57"/>
      <c r="D715" s="57"/>
      <c r="E715" s="58"/>
      <c r="I715" s="59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57"/>
      <c r="B716" s="57"/>
      <c r="C716" s="57"/>
      <c r="D716" s="57"/>
      <c r="E716" s="58"/>
      <c r="I716" s="59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57"/>
      <c r="B717" s="57"/>
      <c r="C717" s="57"/>
      <c r="D717" s="57"/>
      <c r="E717" s="58"/>
      <c r="I717" s="59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57"/>
      <c r="B718" s="57"/>
      <c r="C718" s="57"/>
      <c r="D718" s="57"/>
      <c r="E718" s="58"/>
      <c r="I718" s="59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57"/>
      <c r="B719" s="57"/>
      <c r="C719" s="57"/>
      <c r="D719" s="57"/>
      <c r="E719" s="58"/>
      <c r="I719" s="59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57"/>
      <c r="B720" s="57"/>
      <c r="C720" s="57"/>
      <c r="D720" s="57"/>
      <c r="E720" s="58"/>
      <c r="I720" s="59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57"/>
      <c r="B721" s="57"/>
      <c r="C721" s="57"/>
      <c r="D721" s="57"/>
      <c r="E721" s="58"/>
      <c r="I721" s="59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57"/>
      <c r="B722" s="57"/>
      <c r="C722" s="57"/>
      <c r="D722" s="57"/>
      <c r="E722" s="58"/>
      <c r="I722" s="59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57"/>
      <c r="B723" s="57"/>
      <c r="C723" s="57"/>
      <c r="D723" s="57"/>
      <c r="E723" s="58"/>
      <c r="I723" s="59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57"/>
      <c r="B724" s="57"/>
      <c r="C724" s="57"/>
      <c r="D724" s="57"/>
      <c r="E724" s="58"/>
      <c r="I724" s="59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57"/>
      <c r="B725" s="57"/>
      <c r="C725" s="57"/>
      <c r="D725" s="57"/>
      <c r="E725" s="58"/>
      <c r="I725" s="59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57"/>
      <c r="B726" s="57"/>
      <c r="C726" s="57"/>
      <c r="D726" s="57"/>
      <c r="E726" s="58"/>
      <c r="I726" s="59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57"/>
      <c r="B727" s="57"/>
      <c r="C727" s="57"/>
      <c r="D727" s="57"/>
      <c r="E727" s="58"/>
      <c r="I727" s="59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57"/>
      <c r="B728" s="57"/>
      <c r="C728" s="57"/>
      <c r="D728" s="57"/>
      <c r="E728" s="58"/>
      <c r="I728" s="59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57"/>
      <c r="B729" s="57"/>
      <c r="C729" s="57"/>
      <c r="D729" s="57"/>
      <c r="E729" s="58"/>
      <c r="I729" s="59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57"/>
      <c r="B730" s="57"/>
      <c r="C730" s="57"/>
      <c r="D730" s="57"/>
      <c r="E730" s="58"/>
      <c r="I730" s="59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57"/>
      <c r="B731" s="57"/>
      <c r="C731" s="57"/>
      <c r="D731" s="57"/>
      <c r="E731" s="58"/>
      <c r="I731" s="59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57"/>
      <c r="B732" s="57"/>
      <c r="C732" s="57"/>
      <c r="D732" s="57"/>
      <c r="E732" s="58"/>
      <c r="I732" s="59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57"/>
      <c r="B733" s="57"/>
      <c r="C733" s="57"/>
      <c r="D733" s="57"/>
      <c r="E733" s="58"/>
      <c r="I733" s="59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57"/>
      <c r="B734" s="57"/>
      <c r="C734" s="57"/>
      <c r="D734" s="57"/>
      <c r="E734" s="58"/>
      <c r="I734" s="59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57"/>
      <c r="B735" s="57"/>
      <c r="C735" s="57"/>
      <c r="D735" s="57"/>
      <c r="E735" s="58"/>
      <c r="I735" s="59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57"/>
      <c r="B736" s="57"/>
      <c r="C736" s="57"/>
      <c r="D736" s="57"/>
      <c r="E736" s="58"/>
      <c r="I736" s="59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57"/>
      <c r="B737" s="57"/>
      <c r="C737" s="57"/>
      <c r="D737" s="57"/>
      <c r="E737" s="58"/>
      <c r="I737" s="59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57"/>
      <c r="B738" s="57"/>
      <c r="C738" s="57"/>
      <c r="D738" s="57"/>
      <c r="E738" s="58"/>
      <c r="I738" s="59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57"/>
      <c r="B739" s="57"/>
      <c r="C739" s="57"/>
      <c r="D739" s="57"/>
      <c r="E739" s="58"/>
      <c r="I739" s="59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57"/>
      <c r="B740" s="57"/>
      <c r="C740" s="57"/>
      <c r="D740" s="57"/>
      <c r="E740" s="58"/>
      <c r="I740" s="59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57"/>
      <c r="B741" s="57"/>
      <c r="C741" s="57"/>
      <c r="D741" s="57"/>
      <c r="E741" s="58"/>
      <c r="I741" s="59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57"/>
      <c r="B742" s="57"/>
      <c r="C742" s="57"/>
      <c r="D742" s="57"/>
      <c r="E742" s="58"/>
      <c r="I742" s="59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57"/>
      <c r="B743" s="57"/>
      <c r="C743" s="57"/>
      <c r="D743" s="57"/>
      <c r="E743" s="58"/>
      <c r="I743" s="59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57"/>
      <c r="B744" s="57"/>
      <c r="C744" s="57"/>
      <c r="D744" s="57"/>
      <c r="E744" s="58"/>
      <c r="I744" s="59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57"/>
      <c r="B745" s="57"/>
      <c r="C745" s="57"/>
      <c r="D745" s="57"/>
      <c r="E745" s="58"/>
      <c r="I745" s="59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57"/>
      <c r="B746" s="57"/>
      <c r="C746" s="57"/>
      <c r="D746" s="57"/>
      <c r="E746" s="58"/>
      <c r="I746" s="59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57"/>
      <c r="B747" s="57"/>
      <c r="C747" s="57"/>
      <c r="D747" s="57"/>
      <c r="E747" s="58"/>
      <c r="I747" s="59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57"/>
      <c r="B748" s="57"/>
      <c r="C748" s="57"/>
      <c r="D748" s="57"/>
      <c r="E748" s="58"/>
      <c r="I748" s="59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57"/>
      <c r="B749" s="57"/>
      <c r="C749" s="57"/>
      <c r="D749" s="57"/>
      <c r="E749" s="58"/>
      <c r="I749" s="59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57"/>
      <c r="B750" s="57"/>
      <c r="C750" s="57"/>
      <c r="D750" s="57"/>
      <c r="E750" s="58"/>
      <c r="I750" s="59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57"/>
      <c r="B751" s="57"/>
      <c r="C751" s="57"/>
      <c r="D751" s="57"/>
      <c r="E751" s="58"/>
      <c r="I751" s="59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57"/>
      <c r="B752" s="57"/>
      <c r="C752" s="57"/>
      <c r="D752" s="57"/>
      <c r="E752" s="58"/>
      <c r="I752" s="59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57"/>
      <c r="B753" s="57"/>
      <c r="C753" s="57"/>
      <c r="D753" s="57"/>
      <c r="E753" s="58"/>
      <c r="I753" s="59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57"/>
      <c r="B754" s="57"/>
      <c r="C754" s="57"/>
      <c r="D754" s="57"/>
      <c r="E754" s="58"/>
      <c r="I754" s="59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57"/>
      <c r="B755" s="57"/>
      <c r="C755" s="57"/>
      <c r="D755" s="57"/>
      <c r="E755" s="58"/>
      <c r="I755" s="59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57"/>
      <c r="B756" s="57"/>
      <c r="C756" s="57"/>
      <c r="D756" s="57"/>
      <c r="E756" s="58"/>
      <c r="I756" s="59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57"/>
      <c r="B757" s="57"/>
      <c r="C757" s="57"/>
      <c r="D757" s="57"/>
      <c r="E757" s="58"/>
      <c r="I757" s="59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57"/>
      <c r="B758" s="57"/>
      <c r="C758" s="57"/>
      <c r="D758" s="57"/>
      <c r="E758" s="58"/>
      <c r="I758" s="59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57"/>
      <c r="B759" s="57"/>
      <c r="C759" s="57"/>
      <c r="D759" s="57"/>
      <c r="E759" s="58"/>
      <c r="I759" s="59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57"/>
      <c r="B760" s="57"/>
      <c r="C760" s="57"/>
      <c r="D760" s="57"/>
      <c r="E760" s="58"/>
      <c r="I760" s="59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57"/>
      <c r="B761" s="57"/>
      <c r="C761" s="57"/>
      <c r="D761" s="57"/>
      <c r="E761" s="58"/>
      <c r="I761" s="59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57"/>
      <c r="B762" s="57"/>
      <c r="C762" s="57"/>
      <c r="D762" s="57"/>
      <c r="E762" s="58"/>
      <c r="I762" s="59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57"/>
      <c r="B763" s="57"/>
      <c r="C763" s="57"/>
      <c r="D763" s="57"/>
      <c r="E763" s="58"/>
      <c r="I763" s="59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57"/>
      <c r="B764" s="57"/>
      <c r="C764" s="57"/>
      <c r="D764" s="57"/>
      <c r="E764" s="58"/>
      <c r="I764" s="59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57"/>
      <c r="B765" s="57"/>
      <c r="C765" s="57"/>
      <c r="D765" s="57"/>
      <c r="E765" s="58"/>
      <c r="I765" s="59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57"/>
      <c r="B766" s="57"/>
      <c r="C766" s="57"/>
      <c r="D766" s="57"/>
      <c r="E766" s="58"/>
      <c r="I766" s="59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57"/>
      <c r="B767" s="57"/>
      <c r="C767" s="57"/>
      <c r="D767" s="57"/>
      <c r="E767" s="58"/>
      <c r="I767" s="59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57"/>
      <c r="B768" s="57"/>
      <c r="C768" s="57"/>
      <c r="D768" s="57"/>
      <c r="E768" s="58"/>
      <c r="I768" s="59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57"/>
      <c r="B769" s="57"/>
      <c r="C769" s="57"/>
      <c r="D769" s="57"/>
      <c r="E769" s="58"/>
      <c r="I769" s="59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57"/>
      <c r="B770" s="57"/>
      <c r="C770" s="57"/>
      <c r="D770" s="57"/>
      <c r="E770" s="58"/>
      <c r="I770" s="59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57"/>
      <c r="B771" s="57"/>
      <c r="C771" s="57"/>
      <c r="D771" s="57"/>
      <c r="E771" s="58"/>
      <c r="I771" s="59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57"/>
      <c r="B772" s="57"/>
      <c r="C772" s="57"/>
      <c r="D772" s="57"/>
      <c r="E772" s="58"/>
      <c r="I772" s="59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57"/>
      <c r="B773" s="57"/>
      <c r="C773" s="57"/>
      <c r="D773" s="57"/>
      <c r="E773" s="58"/>
      <c r="I773" s="59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57"/>
      <c r="B774" s="57"/>
      <c r="C774" s="57"/>
      <c r="D774" s="57"/>
      <c r="E774" s="58"/>
      <c r="I774" s="59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57"/>
      <c r="B775" s="57"/>
      <c r="C775" s="57"/>
      <c r="D775" s="57"/>
      <c r="E775" s="58"/>
      <c r="I775" s="59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57"/>
      <c r="B776" s="57"/>
      <c r="C776" s="57"/>
      <c r="D776" s="57"/>
      <c r="E776" s="58"/>
      <c r="I776" s="59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57"/>
      <c r="B777" s="57"/>
      <c r="C777" s="57"/>
      <c r="D777" s="57"/>
      <c r="E777" s="58"/>
      <c r="I777" s="59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57"/>
      <c r="B778" s="57"/>
      <c r="C778" s="57"/>
      <c r="D778" s="57"/>
      <c r="E778" s="58"/>
      <c r="I778" s="59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57"/>
      <c r="B779" s="57"/>
      <c r="C779" s="57"/>
      <c r="D779" s="57"/>
      <c r="E779" s="58"/>
      <c r="I779" s="59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57"/>
      <c r="B780" s="57"/>
      <c r="C780" s="57"/>
      <c r="D780" s="57"/>
      <c r="E780" s="58"/>
      <c r="I780" s="59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57"/>
      <c r="B781" s="57"/>
      <c r="C781" s="57"/>
      <c r="D781" s="57"/>
      <c r="E781" s="58"/>
      <c r="I781" s="59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57"/>
      <c r="B782" s="57"/>
      <c r="C782" s="57"/>
      <c r="D782" s="57"/>
      <c r="E782" s="58"/>
      <c r="I782" s="59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57"/>
      <c r="B783" s="57"/>
      <c r="C783" s="57"/>
      <c r="D783" s="57"/>
      <c r="E783" s="58"/>
      <c r="I783" s="59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57"/>
      <c r="B784" s="57"/>
      <c r="C784" s="57"/>
      <c r="D784" s="57"/>
      <c r="E784" s="58"/>
      <c r="I784" s="59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57"/>
      <c r="B785" s="57"/>
      <c r="C785" s="57"/>
      <c r="D785" s="57"/>
      <c r="E785" s="58"/>
      <c r="I785" s="59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57"/>
      <c r="B786" s="57"/>
      <c r="C786" s="57"/>
      <c r="D786" s="57"/>
      <c r="E786" s="58"/>
      <c r="I786" s="59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57"/>
      <c r="B787" s="57"/>
      <c r="C787" s="57"/>
      <c r="D787" s="57"/>
      <c r="E787" s="58"/>
      <c r="I787" s="59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57"/>
      <c r="B788" s="57"/>
      <c r="C788" s="57"/>
      <c r="D788" s="57"/>
      <c r="E788" s="58"/>
      <c r="I788" s="59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57"/>
      <c r="B789" s="57"/>
      <c r="C789" s="57"/>
      <c r="D789" s="57"/>
      <c r="E789" s="58"/>
      <c r="I789" s="59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57"/>
      <c r="B790" s="57"/>
      <c r="C790" s="57"/>
      <c r="D790" s="57"/>
      <c r="E790" s="58"/>
      <c r="I790" s="59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57"/>
      <c r="B791" s="57"/>
      <c r="C791" s="57"/>
      <c r="D791" s="57"/>
      <c r="E791" s="58"/>
      <c r="I791" s="59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57"/>
      <c r="B792" s="57"/>
      <c r="C792" s="57"/>
      <c r="D792" s="57"/>
      <c r="E792" s="58"/>
      <c r="I792" s="59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57"/>
      <c r="B793" s="57"/>
      <c r="C793" s="57"/>
      <c r="D793" s="57"/>
      <c r="E793" s="58"/>
      <c r="I793" s="59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57"/>
      <c r="B794" s="57"/>
      <c r="C794" s="57"/>
      <c r="D794" s="57"/>
      <c r="E794" s="58"/>
      <c r="I794" s="59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57"/>
      <c r="B795" s="57"/>
      <c r="C795" s="57"/>
      <c r="D795" s="57"/>
      <c r="E795" s="58"/>
      <c r="I795" s="59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57"/>
      <c r="B796" s="57"/>
      <c r="C796" s="57"/>
      <c r="D796" s="57"/>
      <c r="E796" s="58"/>
      <c r="I796" s="59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57"/>
      <c r="B797" s="57"/>
      <c r="C797" s="57"/>
      <c r="D797" s="57"/>
      <c r="E797" s="58"/>
      <c r="I797" s="59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57"/>
      <c r="B798" s="57"/>
      <c r="C798" s="57"/>
      <c r="D798" s="57"/>
      <c r="E798" s="58"/>
      <c r="I798" s="59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57"/>
      <c r="B799" s="57"/>
      <c r="C799" s="57"/>
      <c r="D799" s="57"/>
      <c r="E799" s="58"/>
      <c r="I799" s="59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57"/>
      <c r="B800" s="57"/>
      <c r="C800" s="57"/>
      <c r="D800" s="57"/>
      <c r="E800" s="58"/>
      <c r="I800" s="59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57"/>
      <c r="B801" s="57"/>
      <c r="C801" s="57"/>
      <c r="D801" s="57"/>
      <c r="E801" s="58"/>
      <c r="I801" s="59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57"/>
      <c r="B802" s="57"/>
      <c r="C802" s="57"/>
      <c r="D802" s="57"/>
      <c r="E802" s="58"/>
      <c r="I802" s="59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57"/>
      <c r="B803" s="57"/>
      <c r="C803" s="57"/>
      <c r="D803" s="57"/>
      <c r="E803" s="58"/>
      <c r="I803" s="59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57"/>
      <c r="B804" s="57"/>
      <c r="C804" s="57"/>
      <c r="D804" s="57"/>
      <c r="E804" s="58"/>
      <c r="I804" s="59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57"/>
      <c r="B805" s="57"/>
      <c r="C805" s="57"/>
      <c r="D805" s="57"/>
      <c r="E805" s="58"/>
      <c r="I805" s="59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57"/>
      <c r="B806" s="57"/>
      <c r="C806" s="57"/>
      <c r="D806" s="57"/>
      <c r="E806" s="58"/>
      <c r="I806" s="59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57"/>
      <c r="B807" s="57"/>
      <c r="C807" s="57"/>
      <c r="D807" s="57"/>
      <c r="E807" s="58"/>
      <c r="I807" s="59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57"/>
      <c r="B808" s="57"/>
      <c r="C808" s="57"/>
      <c r="D808" s="57"/>
      <c r="E808" s="58"/>
      <c r="I808" s="59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57"/>
      <c r="B809" s="57"/>
      <c r="C809" s="57"/>
      <c r="D809" s="57"/>
      <c r="E809" s="58"/>
      <c r="I809" s="59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57"/>
      <c r="B810" s="57"/>
      <c r="C810" s="57"/>
      <c r="D810" s="57"/>
      <c r="E810" s="58"/>
      <c r="I810" s="59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57"/>
      <c r="B811" s="57"/>
      <c r="C811" s="57"/>
      <c r="D811" s="57"/>
      <c r="E811" s="58"/>
      <c r="I811" s="59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57"/>
      <c r="B812" s="57"/>
      <c r="C812" s="57"/>
      <c r="D812" s="57"/>
      <c r="E812" s="58"/>
      <c r="I812" s="59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57"/>
      <c r="B813" s="57"/>
      <c r="C813" s="57"/>
      <c r="D813" s="57"/>
      <c r="E813" s="58"/>
      <c r="I813" s="59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57"/>
      <c r="B814" s="57"/>
      <c r="C814" s="57"/>
      <c r="D814" s="57"/>
      <c r="E814" s="58"/>
      <c r="I814" s="59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57"/>
      <c r="B815" s="57"/>
      <c r="C815" s="57"/>
      <c r="D815" s="57"/>
      <c r="E815" s="58"/>
      <c r="I815" s="59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57"/>
      <c r="B816" s="57"/>
      <c r="C816" s="57"/>
      <c r="D816" s="57"/>
      <c r="E816" s="58"/>
      <c r="I816" s="59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57"/>
      <c r="B817" s="57"/>
      <c r="C817" s="57"/>
      <c r="D817" s="57"/>
      <c r="E817" s="58"/>
      <c r="I817" s="59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57"/>
      <c r="B818" s="57"/>
      <c r="C818" s="57"/>
      <c r="D818" s="57"/>
      <c r="E818" s="58"/>
      <c r="I818" s="59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57"/>
      <c r="B819" s="57"/>
      <c r="C819" s="57"/>
      <c r="D819" s="57"/>
      <c r="E819" s="58"/>
      <c r="I819" s="59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57"/>
      <c r="B820" s="57"/>
      <c r="C820" s="57"/>
      <c r="D820" s="57"/>
      <c r="E820" s="58"/>
      <c r="I820" s="59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57"/>
      <c r="B821" s="57"/>
      <c r="C821" s="57"/>
      <c r="D821" s="57"/>
      <c r="E821" s="58"/>
      <c r="I821" s="59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57"/>
      <c r="B822" s="57"/>
      <c r="C822" s="57"/>
      <c r="D822" s="57"/>
      <c r="E822" s="58"/>
      <c r="I822" s="59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57"/>
      <c r="B823" s="57"/>
      <c r="C823" s="57"/>
      <c r="D823" s="57"/>
      <c r="E823" s="58"/>
      <c r="I823" s="59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57"/>
      <c r="B824" s="57"/>
      <c r="C824" s="57"/>
      <c r="D824" s="57"/>
      <c r="E824" s="58"/>
      <c r="I824" s="59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57"/>
      <c r="B825" s="57"/>
      <c r="C825" s="57"/>
      <c r="D825" s="57"/>
      <c r="E825" s="58"/>
      <c r="I825" s="59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57"/>
      <c r="B826" s="57"/>
      <c r="C826" s="57"/>
      <c r="D826" s="57"/>
      <c r="E826" s="58"/>
      <c r="I826" s="59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57"/>
      <c r="B827" s="57"/>
      <c r="C827" s="57"/>
      <c r="D827" s="57"/>
      <c r="E827" s="58"/>
      <c r="I827" s="59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57"/>
      <c r="B828" s="57"/>
      <c r="C828" s="57"/>
      <c r="D828" s="57"/>
      <c r="E828" s="58"/>
      <c r="I828" s="59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57"/>
      <c r="B829" s="57"/>
      <c r="C829" s="57"/>
      <c r="D829" s="57"/>
      <c r="E829" s="58"/>
      <c r="I829" s="59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57"/>
      <c r="B830" s="57"/>
      <c r="C830" s="57"/>
      <c r="D830" s="57"/>
      <c r="E830" s="58"/>
      <c r="I830" s="59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57"/>
      <c r="B831" s="57"/>
      <c r="C831" s="57"/>
      <c r="D831" s="57"/>
      <c r="E831" s="58"/>
      <c r="I831" s="59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57"/>
      <c r="B832" s="57"/>
      <c r="C832" s="57"/>
      <c r="D832" s="57"/>
      <c r="E832" s="58"/>
      <c r="I832" s="59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57"/>
      <c r="B833" s="57"/>
      <c r="C833" s="57"/>
      <c r="D833" s="57"/>
      <c r="E833" s="58"/>
      <c r="I833" s="59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57"/>
      <c r="B834" s="57"/>
      <c r="C834" s="57"/>
      <c r="D834" s="57"/>
      <c r="E834" s="58"/>
      <c r="I834" s="59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57"/>
      <c r="B835" s="57"/>
      <c r="C835" s="57"/>
      <c r="D835" s="57"/>
      <c r="E835" s="58"/>
      <c r="I835" s="59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57"/>
      <c r="B836" s="57"/>
      <c r="C836" s="57"/>
      <c r="D836" s="57"/>
      <c r="E836" s="58"/>
      <c r="I836" s="59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57"/>
      <c r="B837" s="57"/>
      <c r="C837" s="57"/>
      <c r="D837" s="57"/>
      <c r="E837" s="58"/>
      <c r="I837" s="59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57"/>
      <c r="B838" s="57"/>
      <c r="C838" s="57"/>
      <c r="D838" s="57"/>
      <c r="E838" s="58"/>
      <c r="I838" s="59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57"/>
      <c r="B839" s="57"/>
      <c r="C839" s="57"/>
      <c r="D839" s="57"/>
      <c r="E839" s="58"/>
      <c r="I839" s="59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57"/>
      <c r="B840" s="57"/>
      <c r="C840" s="57"/>
      <c r="D840" s="57"/>
      <c r="E840" s="58"/>
      <c r="I840" s="59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57"/>
      <c r="B841" s="57"/>
      <c r="C841" s="57"/>
      <c r="D841" s="57"/>
      <c r="E841" s="58"/>
      <c r="I841" s="59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57"/>
      <c r="B842" s="57"/>
      <c r="C842" s="57"/>
      <c r="D842" s="57"/>
      <c r="E842" s="58"/>
      <c r="I842" s="59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57"/>
      <c r="B843" s="57"/>
      <c r="C843" s="57"/>
      <c r="D843" s="57"/>
      <c r="E843" s="58"/>
      <c r="I843" s="59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57"/>
      <c r="B844" s="57"/>
      <c r="C844" s="57"/>
      <c r="D844" s="57"/>
      <c r="E844" s="58"/>
      <c r="I844" s="59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57"/>
      <c r="B845" s="57"/>
      <c r="C845" s="57"/>
      <c r="D845" s="57"/>
      <c r="E845" s="58"/>
      <c r="I845" s="59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57"/>
      <c r="B846" s="57"/>
      <c r="C846" s="57"/>
      <c r="D846" s="57"/>
      <c r="E846" s="58"/>
      <c r="I846" s="59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57"/>
      <c r="B847" s="57"/>
      <c r="C847" s="57"/>
      <c r="D847" s="57"/>
      <c r="E847" s="58"/>
      <c r="I847" s="59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57"/>
      <c r="B848" s="57"/>
      <c r="C848" s="57"/>
      <c r="D848" s="57"/>
      <c r="E848" s="58"/>
      <c r="I848" s="59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57"/>
      <c r="B849" s="57"/>
      <c r="C849" s="57"/>
      <c r="D849" s="57"/>
      <c r="E849" s="58"/>
      <c r="I849" s="59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57"/>
      <c r="B850" s="57"/>
      <c r="C850" s="57"/>
      <c r="D850" s="57"/>
      <c r="E850" s="58"/>
      <c r="I850" s="59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57"/>
      <c r="B851" s="57"/>
      <c r="C851" s="57"/>
      <c r="D851" s="57"/>
      <c r="E851" s="58"/>
      <c r="I851" s="59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57"/>
      <c r="B852" s="57"/>
      <c r="C852" s="57"/>
      <c r="D852" s="57"/>
      <c r="E852" s="58"/>
      <c r="I852" s="59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57"/>
      <c r="B853" s="57"/>
      <c r="C853" s="57"/>
      <c r="D853" s="57"/>
      <c r="E853" s="58"/>
      <c r="I853" s="59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57"/>
      <c r="B854" s="57"/>
      <c r="C854" s="57"/>
      <c r="D854" s="57"/>
      <c r="E854" s="58"/>
      <c r="I854" s="59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57"/>
      <c r="B855" s="57"/>
      <c r="C855" s="57"/>
      <c r="D855" s="57"/>
      <c r="E855" s="58"/>
      <c r="I855" s="59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57"/>
      <c r="B856" s="57"/>
      <c r="C856" s="57"/>
      <c r="D856" s="57"/>
      <c r="E856" s="58"/>
      <c r="I856" s="59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57"/>
      <c r="B857" s="57"/>
      <c r="C857" s="57"/>
      <c r="D857" s="57"/>
      <c r="E857" s="58"/>
      <c r="I857" s="59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57"/>
      <c r="B858" s="57"/>
      <c r="C858" s="57"/>
      <c r="D858" s="57"/>
      <c r="E858" s="58"/>
      <c r="I858" s="59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57"/>
      <c r="B859" s="57"/>
      <c r="C859" s="57"/>
      <c r="D859" s="57"/>
      <c r="E859" s="58"/>
      <c r="I859" s="59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57"/>
      <c r="B860" s="57"/>
      <c r="C860" s="57"/>
      <c r="D860" s="57"/>
      <c r="E860" s="58"/>
      <c r="I860" s="59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57"/>
      <c r="B861" s="57"/>
      <c r="C861" s="57"/>
      <c r="D861" s="57"/>
      <c r="E861" s="58"/>
      <c r="I861" s="59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57"/>
      <c r="B862" s="57"/>
      <c r="C862" s="57"/>
      <c r="D862" s="57"/>
      <c r="E862" s="58"/>
      <c r="I862" s="59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57"/>
      <c r="B863" s="57"/>
      <c r="C863" s="57"/>
      <c r="D863" s="57"/>
      <c r="E863" s="58"/>
      <c r="I863" s="59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57"/>
      <c r="B864" s="57"/>
      <c r="C864" s="57"/>
      <c r="D864" s="57"/>
      <c r="E864" s="58"/>
      <c r="I864" s="59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57"/>
      <c r="B865" s="57"/>
      <c r="C865" s="57"/>
      <c r="D865" s="57"/>
      <c r="E865" s="58"/>
      <c r="I865" s="59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57"/>
      <c r="B866" s="57"/>
      <c r="C866" s="57"/>
      <c r="D866" s="57"/>
      <c r="E866" s="58"/>
      <c r="I866" s="59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57"/>
      <c r="B867" s="57"/>
      <c r="C867" s="57"/>
      <c r="D867" s="57"/>
      <c r="E867" s="58"/>
      <c r="I867" s="59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57"/>
      <c r="B868" s="57"/>
      <c r="C868" s="57"/>
      <c r="D868" s="57"/>
      <c r="E868" s="58"/>
      <c r="I868" s="59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57"/>
      <c r="B869" s="57"/>
      <c r="C869" s="57"/>
      <c r="D869" s="57"/>
      <c r="E869" s="58"/>
      <c r="I869" s="59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57"/>
      <c r="B870" s="57"/>
      <c r="C870" s="57"/>
      <c r="D870" s="57"/>
      <c r="E870" s="58"/>
      <c r="I870" s="59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57"/>
      <c r="B871" s="57"/>
      <c r="C871" s="57"/>
      <c r="D871" s="57"/>
      <c r="E871" s="58"/>
      <c r="I871" s="59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57"/>
      <c r="B872" s="57"/>
      <c r="C872" s="57"/>
      <c r="D872" s="57"/>
      <c r="E872" s="58"/>
      <c r="I872" s="59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57"/>
      <c r="B873" s="57"/>
      <c r="C873" s="57"/>
      <c r="D873" s="57"/>
      <c r="E873" s="58"/>
      <c r="I873" s="59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57"/>
      <c r="B874" s="57"/>
      <c r="C874" s="57"/>
      <c r="D874" s="57"/>
      <c r="E874" s="58"/>
      <c r="I874" s="59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57"/>
      <c r="B875" s="57"/>
      <c r="C875" s="57"/>
      <c r="D875" s="57"/>
      <c r="E875" s="58"/>
      <c r="I875" s="59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57"/>
      <c r="B876" s="57"/>
      <c r="C876" s="57"/>
      <c r="D876" s="57"/>
      <c r="E876" s="58"/>
      <c r="I876" s="59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57"/>
      <c r="B877" s="57"/>
      <c r="C877" s="57"/>
      <c r="D877" s="57"/>
      <c r="E877" s="58"/>
      <c r="I877" s="59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57"/>
      <c r="B878" s="57"/>
      <c r="C878" s="57"/>
      <c r="D878" s="57"/>
      <c r="E878" s="58"/>
      <c r="I878" s="59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57"/>
      <c r="B879" s="57"/>
      <c r="C879" s="57"/>
      <c r="D879" s="57"/>
      <c r="E879" s="58"/>
      <c r="I879" s="59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57"/>
      <c r="B880" s="57"/>
      <c r="C880" s="57"/>
      <c r="D880" s="57"/>
      <c r="E880" s="58"/>
      <c r="I880" s="59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57"/>
      <c r="B881" s="57"/>
      <c r="C881" s="57"/>
      <c r="D881" s="57"/>
      <c r="E881" s="58"/>
      <c r="I881" s="59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57"/>
      <c r="B882" s="57"/>
      <c r="C882" s="57"/>
      <c r="D882" s="57"/>
      <c r="E882" s="58"/>
      <c r="I882" s="59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57"/>
      <c r="B883" s="57"/>
      <c r="C883" s="57"/>
      <c r="D883" s="57"/>
      <c r="E883" s="58"/>
      <c r="I883" s="59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57"/>
      <c r="B884" s="57"/>
      <c r="C884" s="57"/>
      <c r="D884" s="57"/>
      <c r="E884" s="58"/>
      <c r="I884" s="59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57"/>
      <c r="B885" s="57"/>
      <c r="C885" s="57"/>
      <c r="D885" s="57"/>
      <c r="E885" s="58"/>
      <c r="I885" s="59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57"/>
      <c r="B886" s="57"/>
      <c r="C886" s="57"/>
      <c r="D886" s="57"/>
      <c r="E886" s="58"/>
      <c r="I886" s="59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57"/>
      <c r="B887" s="57"/>
      <c r="C887" s="57"/>
      <c r="D887" s="57"/>
      <c r="E887" s="58"/>
      <c r="I887" s="59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57"/>
      <c r="B888" s="57"/>
      <c r="C888" s="57"/>
      <c r="D888" s="57"/>
      <c r="E888" s="58"/>
      <c r="I888" s="59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57"/>
      <c r="B889" s="57"/>
      <c r="C889" s="57"/>
      <c r="D889" s="57"/>
      <c r="E889" s="58"/>
      <c r="I889" s="59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57"/>
      <c r="B890" s="57"/>
      <c r="C890" s="57"/>
      <c r="D890" s="57"/>
      <c r="E890" s="58"/>
      <c r="I890" s="59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57"/>
      <c r="B891" s="57"/>
      <c r="C891" s="57"/>
      <c r="D891" s="57"/>
      <c r="E891" s="58"/>
      <c r="I891" s="59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57"/>
      <c r="B892" s="57"/>
      <c r="C892" s="57"/>
      <c r="D892" s="57"/>
      <c r="E892" s="58"/>
      <c r="I892" s="59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57"/>
      <c r="B893" s="57"/>
      <c r="C893" s="57"/>
      <c r="D893" s="57"/>
      <c r="E893" s="58"/>
      <c r="I893" s="59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57"/>
      <c r="B894" s="57"/>
      <c r="C894" s="57"/>
      <c r="D894" s="57"/>
      <c r="E894" s="58"/>
      <c r="I894" s="59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57"/>
      <c r="B895" s="57"/>
      <c r="C895" s="57"/>
      <c r="D895" s="57"/>
      <c r="E895" s="58"/>
      <c r="I895" s="59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57"/>
      <c r="B896" s="57"/>
      <c r="C896" s="57"/>
      <c r="D896" s="57"/>
      <c r="E896" s="58"/>
      <c r="I896" s="59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57"/>
      <c r="B897" s="57"/>
      <c r="C897" s="57"/>
      <c r="D897" s="57"/>
      <c r="E897" s="58"/>
      <c r="I897" s="59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57"/>
      <c r="B898" s="57"/>
      <c r="C898" s="57"/>
      <c r="D898" s="57"/>
      <c r="E898" s="58"/>
      <c r="I898" s="59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57"/>
      <c r="B899" s="57"/>
      <c r="C899" s="57"/>
      <c r="D899" s="57"/>
      <c r="E899" s="58"/>
      <c r="I899" s="59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57"/>
      <c r="B900" s="57"/>
      <c r="C900" s="57"/>
      <c r="D900" s="57"/>
      <c r="E900" s="58"/>
      <c r="I900" s="59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57"/>
      <c r="B901" s="57"/>
      <c r="C901" s="57"/>
      <c r="D901" s="57"/>
      <c r="E901" s="58"/>
      <c r="I901" s="59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57"/>
      <c r="B902" s="57"/>
      <c r="C902" s="57"/>
      <c r="D902" s="57"/>
      <c r="E902" s="58"/>
      <c r="I902" s="59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57"/>
      <c r="B903" s="57"/>
      <c r="C903" s="57"/>
      <c r="D903" s="57"/>
      <c r="E903" s="58"/>
      <c r="I903" s="59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57"/>
      <c r="B904" s="57"/>
      <c r="C904" s="57"/>
      <c r="D904" s="57"/>
      <c r="E904" s="58"/>
      <c r="I904" s="59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57"/>
      <c r="B905" s="57"/>
      <c r="C905" s="57"/>
      <c r="D905" s="57"/>
      <c r="E905" s="58"/>
      <c r="I905" s="59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57"/>
      <c r="B906" s="57"/>
      <c r="C906" s="57"/>
      <c r="D906" s="57"/>
      <c r="E906" s="58"/>
      <c r="I906" s="59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57"/>
      <c r="B907" s="57"/>
      <c r="C907" s="57"/>
      <c r="D907" s="57"/>
      <c r="E907" s="58"/>
      <c r="I907" s="59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57"/>
      <c r="B908" s="57"/>
      <c r="C908" s="57"/>
      <c r="D908" s="57"/>
      <c r="E908" s="58"/>
      <c r="I908" s="59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57"/>
      <c r="B909" s="57"/>
      <c r="C909" s="57"/>
      <c r="D909" s="57"/>
      <c r="E909" s="58"/>
      <c r="I909" s="59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57"/>
      <c r="B910" s="57"/>
      <c r="C910" s="57"/>
      <c r="D910" s="57"/>
      <c r="E910" s="58"/>
      <c r="I910" s="59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57"/>
      <c r="B911" s="57"/>
      <c r="C911" s="57"/>
      <c r="D911" s="57"/>
      <c r="E911" s="58"/>
      <c r="I911" s="59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57"/>
      <c r="B912" s="57"/>
      <c r="C912" s="57"/>
      <c r="D912" s="57"/>
      <c r="E912" s="58"/>
      <c r="I912" s="59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57"/>
      <c r="B913" s="57"/>
      <c r="C913" s="57"/>
      <c r="D913" s="57"/>
      <c r="E913" s="58"/>
      <c r="I913" s="59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57"/>
      <c r="B914" s="57"/>
      <c r="C914" s="57"/>
      <c r="D914" s="57"/>
      <c r="E914" s="58"/>
      <c r="I914" s="59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57"/>
      <c r="B915" s="57"/>
      <c r="C915" s="57"/>
      <c r="D915" s="57"/>
      <c r="E915" s="58"/>
      <c r="I915" s="59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57"/>
      <c r="B916" s="57"/>
      <c r="C916" s="57"/>
      <c r="D916" s="57"/>
      <c r="E916" s="58"/>
      <c r="I916" s="59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57"/>
      <c r="B917" s="57"/>
      <c r="C917" s="57"/>
      <c r="D917" s="57"/>
      <c r="E917" s="58"/>
      <c r="I917" s="59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57"/>
      <c r="B918" s="57"/>
      <c r="C918" s="57"/>
      <c r="D918" s="57"/>
      <c r="E918" s="58"/>
      <c r="I918" s="59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57"/>
      <c r="B919" s="57"/>
      <c r="C919" s="57"/>
      <c r="D919" s="57"/>
      <c r="E919" s="58"/>
      <c r="I919" s="59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57"/>
      <c r="B920" s="57"/>
      <c r="C920" s="57"/>
      <c r="D920" s="57"/>
      <c r="E920" s="58"/>
      <c r="I920" s="59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57"/>
      <c r="B921" s="57"/>
      <c r="C921" s="57"/>
      <c r="D921" s="57"/>
      <c r="E921" s="58"/>
      <c r="I921" s="59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57"/>
      <c r="B922" s="57"/>
      <c r="C922" s="57"/>
      <c r="D922" s="57"/>
      <c r="E922" s="58"/>
      <c r="I922" s="59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57"/>
      <c r="B923" s="57"/>
      <c r="C923" s="57"/>
      <c r="D923" s="57"/>
      <c r="E923" s="58"/>
      <c r="I923" s="59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57"/>
      <c r="B924" s="57"/>
      <c r="C924" s="57"/>
      <c r="D924" s="57"/>
      <c r="E924" s="58"/>
      <c r="I924" s="59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57"/>
      <c r="B925" s="57"/>
      <c r="C925" s="57"/>
      <c r="D925" s="57"/>
      <c r="E925" s="58"/>
      <c r="I925" s="59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57"/>
      <c r="B926" s="57"/>
      <c r="C926" s="57"/>
      <c r="D926" s="57"/>
      <c r="E926" s="58"/>
      <c r="I926" s="59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57"/>
      <c r="B927" s="57"/>
      <c r="C927" s="57"/>
      <c r="D927" s="57"/>
      <c r="E927" s="58"/>
      <c r="I927" s="59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57"/>
      <c r="B928" s="57"/>
      <c r="C928" s="57"/>
      <c r="D928" s="57"/>
      <c r="E928" s="58"/>
      <c r="I928" s="59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57"/>
      <c r="B929" s="57"/>
      <c r="C929" s="57"/>
      <c r="D929" s="57"/>
      <c r="E929" s="58"/>
      <c r="I929" s="59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57"/>
      <c r="B930" s="57"/>
      <c r="C930" s="57"/>
      <c r="D930" s="57"/>
      <c r="E930" s="58"/>
      <c r="I930" s="59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57"/>
      <c r="B931" s="57"/>
      <c r="C931" s="57"/>
      <c r="D931" s="57"/>
      <c r="E931" s="58"/>
      <c r="I931" s="59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57"/>
      <c r="B932" s="57"/>
      <c r="C932" s="57"/>
      <c r="D932" s="57"/>
      <c r="E932" s="58"/>
      <c r="I932" s="59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57"/>
      <c r="B933" s="57"/>
      <c r="C933" s="57"/>
      <c r="D933" s="57"/>
      <c r="E933" s="58"/>
      <c r="I933" s="59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57"/>
      <c r="B934" s="57"/>
      <c r="C934" s="57"/>
      <c r="D934" s="57"/>
      <c r="E934" s="58"/>
      <c r="I934" s="59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57"/>
      <c r="B935" s="57"/>
      <c r="C935" s="57"/>
      <c r="D935" s="57"/>
      <c r="E935" s="58"/>
      <c r="I935" s="59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57"/>
      <c r="B936" s="57"/>
      <c r="C936" s="57"/>
      <c r="D936" s="57"/>
      <c r="E936" s="58"/>
      <c r="I936" s="59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57"/>
      <c r="B937" s="57"/>
      <c r="C937" s="57"/>
      <c r="D937" s="57"/>
      <c r="E937" s="58"/>
      <c r="I937" s="59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57"/>
      <c r="B938" s="57"/>
      <c r="C938" s="57"/>
      <c r="D938" s="57"/>
      <c r="E938" s="58"/>
      <c r="I938" s="59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57"/>
      <c r="B939" s="57"/>
      <c r="C939" s="57"/>
      <c r="D939" s="57"/>
      <c r="E939" s="58"/>
      <c r="I939" s="59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57"/>
      <c r="B940" s="57"/>
      <c r="C940" s="57"/>
      <c r="D940" s="57"/>
      <c r="E940" s="58"/>
      <c r="I940" s="59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57"/>
      <c r="B941" s="57"/>
      <c r="C941" s="57"/>
      <c r="D941" s="57"/>
      <c r="E941" s="58"/>
      <c r="I941" s="59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57"/>
      <c r="B942" s="57"/>
      <c r="C942" s="57"/>
      <c r="D942" s="57"/>
      <c r="E942" s="58"/>
      <c r="I942" s="59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57"/>
      <c r="B943" s="57"/>
      <c r="C943" s="57"/>
      <c r="D943" s="57"/>
      <c r="E943" s="58"/>
      <c r="I943" s="59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57"/>
      <c r="B944" s="57"/>
      <c r="C944" s="57"/>
      <c r="D944" s="57"/>
      <c r="E944" s="58"/>
      <c r="I944" s="59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57"/>
      <c r="B945" s="57"/>
      <c r="C945" s="57"/>
      <c r="D945" s="57"/>
      <c r="E945" s="58"/>
      <c r="I945" s="59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</sheetData>
  <customSheetViews>
    <customSheetView guid="{FD539389-92EA-4EC1-8A9B-FCF0EF874228}" filter="1" showAutoFilter="1">
      <autoFilter ref="$A$59:$AA$113"/>
    </customSheetView>
    <customSheetView guid="{8E7D93D1-27AC-47E0-8977-BB00ACC6E971}" filter="1" showAutoFilter="1">
      <autoFilter ref="$A$59:$AA$113"/>
    </customSheetView>
  </customSheetViews>
  <conditionalFormatting sqref="F4:AA56 F60:AA112">
    <cfRule type="cellIs" dxfId="14" priority="1" operator="equal">
      <formula>0</formula>
    </cfRule>
  </conditionalFormatting>
  <conditionalFormatting sqref="F4:I56 F60:I112">
    <cfRule type="colorScale" priority="2">
      <colorScale>
        <cfvo type="min"/>
        <cfvo type="max"/>
        <color rgb="FFFFFFFF"/>
        <color rgb="FF57BB8A"/>
      </colorScale>
    </cfRule>
  </conditionalFormatting>
  <conditionalFormatting sqref="J4:AA56 J60:AA112">
    <cfRule type="colorScale" priority="3">
      <colorScale>
        <cfvo type="min"/>
        <cfvo type="max"/>
        <color rgb="FFFFFFFF"/>
        <color rgb="FF57BB8A"/>
      </colorScale>
    </cfRule>
  </conditionalFormatting>
  <conditionalFormatting sqref="J113:AA113">
    <cfRule type="colorScale" priority="4">
      <colorScale>
        <cfvo type="min"/>
        <cfvo type="formula" val="700.129956"/>
        <color rgb="FFFFFFFF"/>
        <color rgb="FF57BB8A"/>
      </colorScale>
    </cfRule>
  </conditionalFormatting>
  <conditionalFormatting sqref="J113:AA113">
    <cfRule type="colorScale" priority="5">
      <colorScale>
        <cfvo type="min"/>
        <cfvo type="max"/>
        <color rgb="FFFFFFFF"/>
        <color rgb="FF57BB8A"/>
      </colorScale>
    </cfRule>
  </conditionalFormatting>
  <conditionalFormatting sqref="J57:AA58">
    <cfRule type="colorScale" priority="6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D4:E56 I4:AA56 D60:E112 I60:AA112">
      <formula1>AND(ISNUMBER(D4),(NOT(OR(NOT(ISERROR(DATEVALUE(D4))), AND(ISNUMBER(D4), LEFT(CELL("format", D4))="D")))))</formula1>
    </dataValidation>
    <dataValidation allowBlank="1" showDropDown="1" sqref="A4:C56 A60:C112"/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5.25"/>
    <col customWidth="1" min="4" max="5" width="15.63"/>
    <col customWidth="1" min="6" max="6" width="11.63"/>
    <col customWidth="1" min="7" max="7" width="13.13"/>
    <col customWidth="1" min="8" max="30" width="11.63"/>
  </cols>
  <sheetData>
    <row r="1">
      <c r="A1" s="56" t="s">
        <v>1062</v>
      </c>
      <c r="B1" s="57"/>
      <c r="C1" s="57"/>
      <c r="D1" s="57"/>
      <c r="E1" s="58"/>
      <c r="F1" s="57"/>
      <c r="G1" s="59"/>
      <c r="H1" s="59"/>
      <c r="I1" s="5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>
      <c r="A2" s="57"/>
      <c r="B2" s="57"/>
      <c r="C2" s="57"/>
      <c r="D2" s="57"/>
      <c r="E2" s="58"/>
      <c r="F2" s="69">
        <v>2004.0</v>
      </c>
      <c r="G2" s="59"/>
      <c r="H2" s="59"/>
      <c r="I2" s="59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ht="22.5" customHeight="1">
      <c r="A3" s="60" t="s">
        <v>1063</v>
      </c>
      <c r="B3" s="60" t="s">
        <v>1064</v>
      </c>
      <c r="C3" s="60" t="s">
        <v>1065</v>
      </c>
      <c r="D3" s="60" t="s">
        <v>1066</v>
      </c>
      <c r="E3" s="61" t="s">
        <v>1067</v>
      </c>
      <c r="F3" s="60" t="s">
        <v>1196</v>
      </c>
      <c r="G3" s="70" t="s">
        <v>1197</v>
      </c>
      <c r="H3" s="70" t="s">
        <v>1198</v>
      </c>
      <c r="I3" s="70" t="s">
        <v>1199</v>
      </c>
      <c r="J3" s="60" t="s">
        <v>1200</v>
      </c>
      <c r="K3" s="60" t="s">
        <v>1201</v>
      </c>
      <c r="L3" s="60" t="s">
        <v>1202</v>
      </c>
      <c r="M3" s="60" t="s">
        <v>1203</v>
      </c>
      <c r="N3" s="60" t="s">
        <v>1204</v>
      </c>
      <c r="O3" s="60" t="s">
        <v>1205</v>
      </c>
      <c r="P3" s="60" t="s">
        <v>1206</v>
      </c>
      <c r="Q3" s="60" t="s">
        <v>1207</v>
      </c>
      <c r="R3" s="60" t="s">
        <v>1208</v>
      </c>
      <c r="S3" s="60" t="s">
        <v>1209</v>
      </c>
      <c r="T3" s="60" t="s">
        <v>1210</v>
      </c>
      <c r="U3" s="60" t="s">
        <v>1211</v>
      </c>
      <c r="V3" s="60" t="s">
        <v>1212</v>
      </c>
      <c r="W3" s="60" t="s">
        <v>1213</v>
      </c>
      <c r="X3" s="60" t="s">
        <v>1214</v>
      </c>
      <c r="Y3" s="60" t="s">
        <v>1215</v>
      </c>
      <c r="Z3" s="60" t="s">
        <v>1216</v>
      </c>
      <c r="AA3" s="60" t="s">
        <v>1217</v>
      </c>
      <c r="AB3" s="60" t="s">
        <v>1218</v>
      </c>
      <c r="AC3" s="60" t="s">
        <v>1219</v>
      </c>
      <c r="AD3" s="60" t="s">
        <v>1220</v>
      </c>
    </row>
    <row r="4" ht="22.5" customHeight="1">
      <c r="A4" s="62" t="s">
        <v>246</v>
      </c>
      <c r="B4" s="62" t="s">
        <v>1139</v>
      </c>
      <c r="C4" s="62" t="s">
        <v>1140</v>
      </c>
      <c r="D4" s="62">
        <v>2026.0</v>
      </c>
      <c r="E4" s="63">
        <v>18.110612985</v>
      </c>
      <c r="F4" s="62">
        <v>0.0</v>
      </c>
      <c r="G4" s="71">
        <v>0.0</v>
      </c>
      <c r="H4" s="71">
        <v>15000.0</v>
      </c>
      <c r="I4" s="64" t="s">
        <v>1092</v>
      </c>
      <c r="J4" s="62">
        <v>0.0</v>
      </c>
      <c r="K4" s="62">
        <v>0.0</v>
      </c>
      <c r="L4" s="62">
        <v>6000.0</v>
      </c>
      <c r="M4" s="62">
        <v>1000.0</v>
      </c>
      <c r="N4" s="62">
        <v>4000.0</v>
      </c>
      <c r="O4" s="62">
        <v>2000.0</v>
      </c>
      <c r="P4" s="62">
        <v>2000.0</v>
      </c>
      <c r="Q4" s="62">
        <v>2000.0</v>
      </c>
      <c r="R4" s="62">
        <v>4500.0</v>
      </c>
      <c r="S4" s="62">
        <v>34000.0</v>
      </c>
      <c r="T4" s="62">
        <v>9000.0</v>
      </c>
      <c r="U4" s="62">
        <v>10000.0</v>
      </c>
      <c r="V4" s="62">
        <v>0.0</v>
      </c>
      <c r="W4" s="62">
        <v>0.0</v>
      </c>
      <c r="X4" s="62">
        <v>15000.0</v>
      </c>
      <c r="Y4" s="62">
        <v>0.0</v>
      </c>
      <c r="Z4" s="62">
        <v>2000.0</v>
      </c>
      <c r="AA4" s="62">
        <v>0.0</v>
      </c>
      <c r="AB4" s="62">
        <v>0.0</v>
      </c>
      <c r="AC4" s="62">
        <v>2000.0</v>
      </c>
      <c r="AD4" s="62">
        <v>9000.0</v>
      </c>
    </row>
    <row r="5" ht="22.5" customHeight="1">
      <c r="A5" s="62" t="s">
        <v>246</v>
      </c>
      <c r="B5" s="62" t="s">
        <v>1095</v>
      </c>
      <c r="C5" s="62" t="s">
        <v>1096</v>
      </c>
      <c r="D5" s="62">
        <v>2022.0</v>
      </c>
      <c r="E5" s="63">
        <v>21.1987533783</v>
      </c>
      <c r="F5" s="62">
        <v>0.0</v>
      </c>
      <c r="G5" s="71">
        <v>0.0</v>
      </c>
      <c r="H5" s="71">
        <v>0.0</v>
      </c>
      <c r="I5" s="64" t="s">
        <v>1092</v>
      </c>
      <c r="J5" s="62">
        <v>0.0</v>
      </c>
      <c r="K5" s="62">
        <v>0.0</v>
      </c>
      <c r="L5" s="62">
        <v>0.0</v>
      </c>
      <c r="M5" s="62">
        <v>8000.0</v>
      </c>
      <c r="N5" s="62">
        <v>8000.0</v>
      </c>
      <c r="O5" s="62">
        <v>8000.0</v>
      </c>
      <c r="P5" s="62">
        <v>6000.0</v>
      </c>
      <c r="Q5" s="62">
        <v>0.0</v>
      </c>
      <c r="R5" s="62">
        <v>0.0</v>
      </c>
      <c r="S5" s="62">
        <v>16000.0</v>
      </c>
      <c r="T5" s="62">
        <v>16000.0</v>
      </c>
      <c r="U5" s="62">
        <v>12000.0</v>
      </c>
      <c r="V5" s="62">
        <v>5000.0</v>
      </c>
      <c r="W5" s="62">
        <v>0.0</v>
      </c>
      <c r="X5" s="62">
        <v>0.0</v>
      </c>
      <c r="Y5" s="62">
        <v>0.0</v>
      </c>
      <c r="Z5" s="62">
        <v>6000.0</v>
      </c>
      <c r="AA5" s="62">
        <v>4000.0</v>
      </c>
      <c r="AB5" s="62">
        <v>5000.0</v>
      </c>
      <c r="AC5" s="62">
        <v>0.0</v>
      </c>
      <c r="AD5" s="62">
        <v>0.0</v>
      </c>
    </row>
    <row r="6" ht="22.5" customHeight="1">
      <c r="A6" s="62" t="s">
        <v>246</v>
      </c>
      <c r="B6" s="62" t="s">
        <v>1141</v>
      </c>
      <c r="C6" s="62" t="s">
        <v>1142</v>
      </c>
      <c r="D6" s="62">
        <v>2026.0</v>
      </c>
      <c r="E6" s="63">
        <v>11.6095621633</v>
      </c>
      <c r="F6" s="62">
        <v>0.0</v>
      </c>
      <c r="G6" s="71">
        <v>0.0</v>
      </c>
      <c r="H6" s="71">
        <v>5000.0</v>
      </c>
      <c r="I6" s="64" t="s">
        <v>1092</v>
      </c>
      <c r="J6" s="62">
        <v>3000.0</v>
      </c>
      <c r="K6" s="62">
        <v>2000.0</v>
      </c>
      <c r="L6" s="62">
        <v>0.0</v>
      </c>
      <c r="M6" s="62">
        <v>0.0</v>
      </c>
      <c r="N6" s="62">
        <v>0.0</v>
      </c>
      <c r="O6" s="62">
        <v>1000.0</v>
      </c>
      <c r="P6" s="62">
        <v>0.0</v>
      </c>
      <c r="Q6" s="62">
        <v>0.0</v>
      </c>
      <c r="R6" s="62">
        <v>0.0</v>
      </c>
      <c r="S6" s="62">
        <v>3000.0</v>
      </c>
      <c r="T6" s="62">
        <v>3000.0</v>
      </c>
      <c r="U6" s="62">
        <v>2000.0</v>
      </c>
      <c r="V6" s="62">
        <v>2000.0</v>
      </c>
      <c r="W6" s="62">
        <v>0.0</v>
      </c>
      <c r="X6" s="62">
        <v>1000.0</v>
      </c>
      <c r="Y6" s="62">
        <v>3000.0</v>
      </c>
      <c r="Z6" s="62">
        <v>1000.0</v>
      </c>
      <c r="AA6" s="62">
        <v>4000.0</v>
      </c>
      <c r="AB6" s="62">
        <v>0.0</v>
      </c>
      <c r="AC6" s="62">
        <v>1000.0</v>
      </c>
      <c r="AD6" s="62">
        <v>5000.0</v>
      </c>
    </row>
    <row r="7" ht="22.5" customHeight="1">
      <c r="A7" s="62" t="s">
        <v>95</v>
      </c>
      <c r="B7" s="62" t="s">
        <v>1146</v>
      </c>
      <c r="C7" s="62" t="s">
        <v>1147</v>
      </c>
      <c r="D7" s="62">
        <v>2026.0</v>
      </c>
      <c r="E7" s="63">
        <v>29.4711171643</v>
      </c>
      <c r="F7" s="62">
        <v>0.0</v>
      </c>
      <c r="G7" s="71">
        <v>0.0</v>
      </c>
      <c r="H7" s="71">
        <v>25000.0</v>
      </c>
      <c r="I7" s="64" t="s">
        <v>1092</v>
      </c>
      <c r="J7" s="62">
        <v>25000.0</v>
      </c>
      <c r="K7" s="62">
        <v>10000.0</v>
      </c>
      <c r="L7" s="62">
        <v>0.0</v>
      </c>
      <c r="M7" s="62">
        <v>18000.0</v>
      </c>
      <c r="N7" s="62">
        <v>18000.0</v>
      </c>
      <c r="O7" s="62">
        <v>12000.0</v>
      </c>
      <c r="P7" s="62">
        <v>0.0</v>
      </c>
      <c r="Q7" s="62">
        <v>3000.0</v>
      </c>
      <c r="R7" s="62">
        <v>12000.0</v>
      </c>
      <c r="S7" s="62">
        <v>30000.0</v>
      </c>
      <c r="T7" s="62">
        <v>8000.0</v>
      </c>
      <c r="U7" s="62">
        <v>0.0</v>
      </c>
      <c r="V7" s="62">
        <v>0.0</v>
      </c>
      <c r="W7" s="62">
        <v>3000.0</v>
      </c>
      <c r="X7" s="62">
        <v>3000.0</v>
      </c>
      <c r="Y7" s="62">
        <v>9000.0</v>
      </c>
      <c r="Z7" s="62">
        <v>15000.0</v>
      </c>
      <c r="AA7" s="62">
        <v>15000.0</v>
      </c>
      <c r="AB7" s="62">
        <v>0.0</v>
      </c>
      <c r="AC7" s="62">
        <v>0.0</v>
      </c>
      <c r="AD7" s="62">
        <v>0.0</v>
      </c>
    </row>
    <row r="8" ht="22.5" customHeight="1">
      <c r="A8" s="62" t="s">
        <v>95</v>
      </c>
      <c r="B8" s="62" t="s">
        <v>1099</v>
      </c>
      <c r="C8" s="62" t="s">
        <v>1100</v>
      </c>
      <c r="D8" s="62">
        <v>2022.0</v>
      </c>
      <c r="E8" s="63">
        <v>41.9793488172</v>
      </c>
      <c r="F8" s="62">
        <v>24000.0</v>
      </c>
      <c r="G8" s="71">
        <v>15000.0</v>
      </c>
      <c r="H8" s="71">
        <v>15000.0</v>
      </c>
      <c r="I8" s="64" t="s">
        <v>1092</v>
      </c>
      <c r="J8" s="62">
        <v>15000.0</v>
      </c>
      <c r="K8" s="62">
        <v>25000.0</v>
      </c>
      <c r="L8" s="62">
        <v>20000.0</v>
      </c>
      <c r="M8" s="62">
        <v>10000.0</v>
      </c>
      <c r="N8" s="62">
        <v>5000.0</v>
      </c>
      <c r="O8" s="62">
        <v>0.0</v>
      </c>
      <c r="P8" s="62">
        <v>0.0</v>
      </c>
      <c r="Q8" s="62">
        <v>30000.0</v>
      </c>
      <c r="R8" s="62">
        <v>15000.0</v>
      </c>
      <c r="S8" s="62">
        <v>20000.0</v>
      </c>
      <c r="T8" s="62">
        <v>10000.0</v>
      </c>
      <c r="U8" s="62">
        <v>5000.0</v>
      </c>
      <c r="V8" s="62">
        <v>5000.0</v>
      </c>
      <c r="W8" s="62">
        <v>3000.0</v>
      </c>
      <c r="X8" s="62">
        <v>0.0</v>
      </c>
      <c r="Y8" s="62">
        <v>0.0</v>
      </c>
      <c r="Z8" s="62">
        <v>16000.0</v>
      </c>
      <c r="AA8" s="62">
        <v>24000.0</v>
      </c>
      <c r="AB8" s="62">
        <v>20000.0</v>
      </c>
      <c r="AC8" s="62">
        <v>0.0</v>
      </c>
      <c r="AD8" s="62">
        <v>0.0</v>
      </c>
    </row>
    <row r="9" ht="22.5" customHeight="1">
      <c r="A9" s="62" t="s">
        <v>234</v>
      </c>
      <c r="B9" s="62" t="s">
        <v>1135</v>
      </c>
      <c r="C9" s="62" t="s">
        <v>1148</v>
      </c>
      <c r="D9" s="62">
        <v>2026.0</v>
      </c>
      <c r="E9" s="63">
        <v>16.5529615454</v>
      </c>
      <c r="F9" s="62">
        <v>12000.0</v>
      </c>
      <c r="G9" s="71">
        <v>10000.0</v>
      </c>
      <c r="H9" s="71">
        <v>3000.0</v>
      </c>
      <c r="I9" s="64" t="s">
        <v>1092</v>
      </c>
      <c r="J9" s="62">
        <v>5000.0</v>
      </c>
      <c r="K9" s="62">
        <v>5000.0</v>
      </c>
      <c r="L9" s="62">
        <v>3000.0</v>
      </c>
      <c r="M9" s="62">
        <v>6000.0</v>
      </c>
      <c r="N9" s="62">
        <v>0.0</v>
      </c>
      <c r="O9" s="62">
        <v>0.0</v>
      </c>
      <c r="P9" s="62">
        <v>0.0</v>
      </c>
      <c r="Q9" s="62">
        <v>8000.0</v>
      </c>
      <c r="R9" s="62">
        <v>5000.0</v>
      </c>
      <c r="S9" s="62">
        <v>12000.0</v>
      </c>
      <c r="T9" s="62">
        <v>5000.0</v>
      </c>
      <c r="U9" s="62">
        <v>2000.0</v>
      </c>
      <c r="V9" s="62">
        <v>7000.0</v>
      </c>
      <c r="W9" s="62">
        <v>12000.0</v>
      </c>
      <c r="X9" s="62">
        <v>5000.0</v>
      </c>
      <c r="Y9" s="62">
        <v>0.0</v>
      </c>
      <c r="Z9" s="62">
        <v>0.0</v>
      </c>
      <c r="AA9" s="62">
        <v>0.0</v>
      </c>
      <c r="AB9" s="62">
        <v>0.0</v>
      </c>
      <c r="AC9" s="62">
        <v>7000.0</v>
      </c>
      <c r="AD9" s="62">
        <v>0.0</v>
      </c>
    </row>
    <row r="10" ht="22.5" customHeight="1">
      <c r="A10" s="62" t="s">
        <v>234</v>
      </c>
      <c r="B10" s="62" t="s">
        <v>1109</v>
      </c>
      <c r="C10" s="62" t="s">
        <v>1110</v>
      </c>
      <c r="D10" s="62">
        <v>2022.0</v>
      </c>
      <c r="E10" s="63">
        <v>23.0283132751</v>
      </c>
      <c r="F10" s="62">
        <v>1000.0</v>
      </c>
      <c r="G10" s="71">
        <v>0.0</v>
      </c>
      <c r="H10" s="71">
        <v>25000.0</v>
      </c>
      <c r="I10" s="64" t="s">
        <v>1092</v>
      </c>
      <c r="J10" s="62">
        <v>9000.0</v>
      </c>
      <c r="K10" s="62">
        <v>0.0</v>
      </c>
      <c r="L10" s="62">
        <v>0.0</v>
      </c>
      <c r="M10" s="62">
        <v>0.0</v>
      </c>
      <c r="N10" s="62">
        <v>0.0</v>
      </c>
      <c r="O10" s="62">
        <v>0.0</v>
      </c>
      <c r="P10" s="62">
        <v>0.0</v>
      </c>
      <c r="Q10" s="62">
        <v>0.0</v>
      </c>
      <c r="R10" s="62">
        <v>0.0</v>
      </c>
      <c r="S10" s="62">
        <v>5000.0</v>
      </c>
      <c r="T10" s="62">
        <v>3.0</v>
      </c>
      <c r="U10" s="62">
        <v>8000.0</v>
      </c>
      <c r="V10" s="62">
        <v>7000.0</v>
      </c>
      <c r="W10" s="62">
        <v>7000.0</v>
      </c>
      <c r="X10" s="62">
        <v>7000.0</v>
      </c>
      <c r="Y10" s="62">
        <v>0.0</v>
      </c>
      <c r="Z10" s="62">
        <v>12000.0</v>
      </c>
      <c r="AA10" s="62">
        <v>10000.0</v>
      </c>
      <c r="AB10" s="62">
        <v>5000.0</v>
      </c>
      <c r="AC10" s="62">
        <v>0.0</v>
      </c>
      <c r="AD10" s="62">
        <v>0.0</v>
      </c>
    </row>
    <row r="11" ht="22.5" customHeight="1">
      <c r="A11" s="62" t="s">
        <v>234</v>
      </c>
      <c r="B11" s="62" t="s">
        <v>1133</v>
      </c>
      <c r="C11" s="62" t="s">
        <v>1134</v>
      </c>
      <c r="D11" s="62">
        <v>2025.0</v>
      </c>
      <c r="E11" s="63">
        <v>53.6279968265</v>
      </c>
      <c r="F11" s="62">
        <v>0.0</v>
      </c>
      <c r="G11" s="71">
        <v>0.0</v>
      </c>
      <c r="H11" s="71">
        <v>0.0</v>
      </c>
      <c r="I11" s="64" t="s">
        <v>1092</v>
      </c>
      <c r="J11" s="62">
        <v>10000.0</v>
      </c>
      <c r="K11" s="62">
        <v>10000.0</v>
      </c>
      <c r="L11" s="62">
        <v>0.0</v>
      </c>
      <c r="M11" s="62">
        <v>20000.0</v>
      </c>
      <c r="N11" s="62">
        <v>20000.0</v>
      </c>
      <c r="O11" s="62">
        <v>15000.0</v>
      </c>
      <c r="P11" s="62">
        <v>10000.0</v>
      </c>
      <c r="Q11" s="62">
        <v>0.0</v>
      </c>
      <c r="R11" s="62">
        <v>0.0</v>
      </c>
      <c r="S11" s="62">
        <v>10000.0</v>
      </c>
      <c r="T11" s="62">
        <v>25000.0</v>
      </c>
      <c r="U11" s="62">
        <v>30000.0</v>
      </c>
      <c r="V11" s="62">
        <v>20000.0</v>
      </c>
      <c r="W11" s="62">
        <v>0.0</v>
      </c>
      <c r="X11" s="62">
        <v>27000.0</v>
      </c>
      <c r="Y11" s="62">
        <v>30000.0</v>
      </c>
      <c r="Z11" s="62">
        <v>26000.0</v>
      </c>
      <c r="AA11" s="62">
        <v>0.0</v>
      </c>
      <c r="AB11" s="62">
        <v>0.0</v>
      </c>
      <c r="AC11" s="62">
        <v>0.0</v>
      </c>
      <c r="AD11" s="62">
        <v>0.0</v>
      </c>
    </row>
    <row r="12" ht="22.5" customHeight="1">
      <c r="A12" s="62" t="s">
        <v>234</v>
      </c>
      <c r="B12" s="62" t="s">
        <v>1107</v>
      </c>
      <c r="C12" s="62" t="s">
        <v>1108</v>
      </c>
      <c r="D12" s="62">
        <v>2022.0</v>
      </c>
      <c r="E12" s="63">
        <v>52.1536105648</v>
      </c>
      <c r="F12" s="62">
        <v>7000.0</v>
      </c>
      <c r="G12" s="71">
        <v>0.0</v>
      </c>
      <c r="H12" s="71">
        <v>10000.0</v>
      </c>
      <c r="I12" s="64" t="s">
        <v>1092</v>
      </c>
      <c r="J12" s="62">
        <v>18000.0</v>
      </c>
      <c r="K12" s="62">
        <v>0.0</v>
      </c>
      <c r="L12" s="62">
        <v>0.0</v>
      </c>
      <c r="M12" s="62">
        <v>25000.0</v>
      </c>
      <c r="N12" s="62">
        <v>20000.0</v>
      </c>
      <c r="O12" s="62">
        <v>15000.0</v>
      </c>
      <c r="P12" s="62">
        <v>10000.0</v>
      </c>
      <c r="Q12" s="62">
        <v>0.0</v>
      </c>
      <c r="R12" s="62">
        <v>0.0</v>
      </c>
      <c r="S12" s="62">
        <v>25000.0</v>
      </c>
      <c r="T12" s="62">
        <v>20000.0</v>
      </c>
      <c r="U12" s="62">
        <v>6000.0</v>
      </c>
      <c r="V12" s="62">
        <v>6000.0</v>
      </c>
      <c r="W12" s="62">
        <v>8000.0</v>
      </c>
      <c r="X12" s="62">
        <v>0.0</v>
      </c>
      <c r="Y12" s="62">
        <v>0.0</v>
      </c>
      <c r="Z12" s="62">
        <v>31000.0</v>
      </c>
      <c r="AA12" s="62">
        <v>31000.0</v>
      </c>
      <c r="AB12" s="62">
        <v>15000.0</v>
      </c>
      <c r="AC12" s="62">
        <v>10000.0</v>
      </c>
      <c r="AD12" s="62">
        <v>0.0</v>
      </c>
    </row>
    <row r="13" ht="22.5" customHeight="1">
      <c r="A13" s="62" t="s">
        <v>234</v>
      </c>
      <c r="B13" s="62" t="s">
        <v>1151</v>
      </c>
      <c r="C13" s="62" t="s">
        <v>1152</v>
      </c>
      <c r="D13" s="62">
        <v>2026.0</v>
      </c>
      <c r="E13" s="63">
        <v>6.73257861682</v>
      </c>
      <c r="F13" s="62">
        <v>1000.0</v>
      </c>
      <c r="G13" s="71">
        <v>1000.0</v>
      </c>
      <c r="H13" s="71">
        <v>0.0</v>
      </c>
      <c r="I13" s="64" t="s">
        <v>1092</v>
      </c>
      <c r="J13" s="62">
        <v>0.0</v>
      </c>
      <c r="K13" s="62">
        <v>0.0</v>
      </c>
      <c r="L13" s="62">
        <v>0.0</v>
      </c>
      <c r="M13" s="62">
        <v>0.0</v>
      </c>
      <c r="N13" s="62">
        <v>0.0</v>
      </c>
      <c r="O13" s="62">
        <v>3000.0</v>
      </c>
      <c r="P13" s="62">
        <v>3000.0</v>
      </c>
      <c r="Q13" s="62">
        <v>3000.0</v>
      </c>
      <c r="R13" s="62">
        <v>0.0</v>
      </c>
      <c r="S13" s="62">
        <v>0.0</v>
      </c>
      <c r="T13" s="62">
        <v>0.0</v>
      </c>
      <c r="U13" s="62">
        <v>0.0</v>
      </c>
      <c r="V13" s="62">
        <v>1000.0</v>
      </c>
      <c r="W13" s="62">
        <v>3000.0</v>
      </c>
      <c r="X13" s="62">
        <v>0.0</v>
      </c>
      <c r="Y13" s="62">
        <v>0.0</v>
      </c>
      <c r="Z13" s="62">
        <v>0.0</v>
      </c>
      <c r="AA13" s="62">
        <v>3500.0</v>
      </c>
      <c r="AB13" s="62">
        <v>3500.0</v>
      </c>
      <c r="AC13" s="62">
        <v>2000.0</v>
      </c>
      <c r="AD13" s="62">
        <v>0.0</v>
      </c>
    </row>
    <row r="14" ht="22.5" customHeight="1">
      <c r="A14" s="62" t="s">
        <v>234</v>
      </c>
      <c r="B14" s="62" t="s">
        <v>1149</v>
      </c>
      <c r="C14" s="62" t="s">
        <v>1150</v>
      </c>
      <c r="D14" s="62">
        <v>2026.0</v>
      </c>
      <c r="E14" s="63">
        <v>21.9569411482</v>
      </c>
      <c r="F14" s="62">
        <v>0.0</v>
      </c>
      <c r="G14" s="71">
        <v>0.0</v>
      </c>
      <c r="H14" s="71">
        <v>15000.0</v>
      </c>
      <c r="I14" s="64" t="s">
        <v>1092</v>
      </c>
      <c r="J14" s="62">
        <v>11000.0</v>
      </c>
      <c r="K14" s="62">
        <v>11000.0</v>
      </c>
      <c r="L14" s="62">
        <v>0.0</v>
      </c>
      <c r="M14" s="62">
        <v>11000.0</v>
      </c>
      <c r="N14" s="62">
        <v>11000.0</v>
      </c>
      <c r="O14" s="62">
        <v>15000.0</v>
      </c>
      <c r="P14" s="62">
        <v>11000.0</v>
      </c>
      <c r="Q14" s="62">
        <v>6000.0</v>
      </c>
      <c r="R14" s="62">
        <v>0.0</v>
      </c>
      <c r="S14" s="62">
        <v>4000.0</v>
      </c>
      <c r="T14" s="62">
        <v>8000.0</v>
      </c>
      <c r="U14" s="62">
        <v>6000.0</v>
      </c>
      <c r="V14" s="62">
        <v>4000.0</v>
      </c>
      <c r="W14" s="62">
        <v>2000.0</v>
      </c>
      <c r="X14" s="62">
        <v>11000.0</v>
      </c>
      <c r="Y14" s="62">
        <v>6000.0</v>
      </c>
      <c r="Z14" s="62">
        <v>7000.0</v>
      </c>
      <c r="AA14" s="62">
        <v>4000.0</v>
      </c>
      <c r="AB14" s="62">
        <v>0.0</v>
      </c>
      <c r="AC14" s="62">
        <v>0.0</v>
      </c>
      <c r="AD14" s="62">
        <v>0.0</v>
      </c>
    </row>
    <row r="15" ht="22.5" customHeight="1">
      <c r="A15" s="62" t="s">
        <v>234</v>
      </c>
      <c r="B15" s="62" t="s">
        <v>1172</v>
      </c>
      <c r="C15" s="62" t="s">
        <v>1173</v>
      </c>
      <c r="D15" s="62" t="s">
        <v>1163</v>
      </c>
      <c r="E15" s="63">
        <v>14.3042001117</v>
      </c>
      <c r="F15" s="62">
        <v>6000.0</v>
      </c>
      <c r="G15" s="71">
        <v>2000.0</v>
      </c>
      <c r="H15" s="71">
        <v>1000.0</v>
      </c>
      <c r="I15" s="64" t="s">
        <v>1092</v>
      </c>
      <c r="J15" s="62">
        <v>0.0</v>
      </c>
      <c r="K15" s="62">
        <v>0.0</v>
      </c>
      <c r="L15" s="62">
        <v>0.0</v>
      </c>
      <c r="M15" s="62">
        <v>0.0</v>
      </c>
      <c r="N15" s="62">
        <v>0.0</v>
      </c>
      <c r="O15" s="62">
        <v>6000.0</v>
      </c>
      <c r="P15" s="62">
        <v>8000.0</v>
      </c>
      <c r="Q15" s="62">
        <v>3000.0</v>
      </c>
      <c r="R15" s="62">
        <v>1500.0</v>
      </c>
      <c r="S15" s="62">
        <v>0.0</v>
      </c>
      <c r="T15" s="62">
        <v>0.0</v>
      </c>
      <c r="U15" s="62">
        <v>2000.0</v>
      </c>
      <c r="V15" s="62">
        <v>2000.0</v>
      </c>
      <c r="W15" s="62">
        <v>4000.0</v>
      </c>
      <c r="X15" s="62">
        <v>5000.0</v>
      </c>
      <c r="Y15" s="62">
        <v>0.0</v>
      </c>
      <c r="Z15" s="62">
        <v>0.0</v>
      </c>
      <c r="AA15" s="62">
        <v>0.0</v>
      </c>
      <c r="AB15" s="62">
        <v>0.0</v>
      </c>
      <c r="AC15" s="62">
        <v>0.0</v>
      </c>
      <c r="AD15" s="62">
        <v>0.0</v>
      </c>
    </row>
    <row r="16" ht="22.5" customHeight="1">
      <c r="A16" s="62" t="s">
        <v>95</v>
      </c>
      <c r="B16" s="62" t="s">
        <v>1115</v>
      </c>
      <c r="C16" s="62" t="s">
        <v>1116</v>
      </c>
      <c r="D16" s="62">
        <v>2023.0</v>
      </c>
      <c r="E16" s="63">
        <v>30.7513054957</v>
      </c>
      <c r="F16" s="62">
        <v>0.0</v>
      </c>
      <c r="G16" s="71">
        <v>0.0</v>
      </c>
      <c r="H16" s="71">
        <v>0.0</v>
      </c>
      <c r="I16" s="64" t="s">
        <v>1092</v>
      </c>
      <c r="J16" s="62">
        <v>4000.0</v>
      </c>
      <c r="K16" s="62">
        <v>4000.0</v>
      </c>
      <c r="L16" s="62">
        <v>0.0</v>
      </c>
      <c r="M16" s="62">
        <v>0.0</v>
      </c>
      <c r="N16" s="62">
        <v>0.0</v>
      </c>
      <c r="O16" s="62">
        <v>4000.0</v>
      </c>
      <c r="P16" s="62">
        <v>3000.0</v>
      </c>
      <c r="Q16" s="62">
        <v>0.0</v>
      </c>
      <c r="R16" s="62">
        <v>0.0</v>
      </c>
      <c r="S16" s="62">
        <v>2000.0</v>
      </c>
      <c r="T16" s="62">
        <v>6000.0</v>
      </c>
      <c r="U16" s="62">
        <v>2000.0</v>
      </c>
      <c r="V16" s="62">
        <v>3000.0</v>
      </c>
      <c r="W16" s="62">
        <v>7500.0</v>
      </c>
      <c r="X16" s="62">
        <v>0.0</v>
      </c>
      <c r="Y16" s="62">
        <v>0.0</v>
      </c>
      <c r="Z16" s="62">
        <v>0.0</v>
      </c>
      <c r="AA16" s="62">
        <v>13000.0</v>
      </c>
      <c r="AB16" s="62">
        <v>21000.0</v>
      </c>
      <c r="AC16" s="62">
        <v>0.0</v>
      </c>
      <c r="AD16" s="62">
        <v>0.0</v>
      </c>
    </row>
    <row r="17" ht="22.5" customHeight="1">
      <c r="A17" s="62" t="s">
        <v>95</v>
      </c>
      <c r="B17" s="62" t="s">
        <v>1125</v>
      </c>
      <c r="C17" s="62" t="s">
        <v>1126</v>
      </c>
      <c r="D17" s="62">
        <v>2024.0</v>
      </c>
      <c r="E17" s="63">
        <v>32.6661500852</v>
      </c>
      <c r="F17" s="62">
        <v>0.0</v>
      </c>
      <c r="G17" s="71">
        <v>0.0</v>
      </c>
      <c r="H17" s="71">
        <v>30000.0</v>
      </c>
      <c r="I17" s="64" t="s">
        <v>1092</v>
      </c>
      <c r="J17" s="62">
        <v>22000.0</v>
      </c>
      <c r="K17" s="62">
        <v>5000.0</v>
      </c>
      <c r="L17" s="62">
        <v>12000.0</v>
      </c>
      <c r="M17" s="62">
        <v>18000.0</v>
      </c>
      <c r="N17" s="62">
        <v>18000.0</v>
      </c>
      <c r="O17" s="62">
        <v>0.0</v>
      </c>
      <c r="P17" s="62">
        <v>0.0</v>
      </c>
      <c r="Q17" s="62">
        <v>3000.0</v>
      </c>
      <c r="R17" s="62">
        <v>15000.0</v>
      </c>
      <c r="S17" s="62">
        <v>36000.0</v>
      </c>
      <c r="T17" s="62">
        <v>8000.0</v>
      </c>
      <c r="U17" s="62">
        <v>0.0</v>
      </c>
      <c r="V17" s="62">
        <v>3000.0</v>
      </c>
      <c r="W17" s="62">
        <v>7500.0</v>
      </c>
      <c r="X17" s="62">
        <v>10000.0</v>
      </c>
      <c r="Y17" s="62">
        <v>6000.0</v>
      </c>
      <c r="Z17" s="62">
        <v>0.0</v>
      </c>
      <c r="AA17" s="62">
        <v>0.0</v>
      </c>
      <c r="AB17" s="62">
        <v>15000.0</v>
      </c>
      <c r="AC17" s="62">
        <v>25000.0</v>
      </c>
      <c r="AD17" s="62">
        <v>0.0</v>
      </c>
    </row>
    <row r="18" ht="22.5" customHeight="1">
      <c r="A18" s="62" t="s">
        <v>95</v>
      </c>
      <c r="B18" s="62" t="s">
        <v>1127</v>
      </c>
      <c r="C18" s="62" t="s">
        <v>1128</v>
      </c>
      <c r="D18" s="62">
        <v>2024.0</v>
      </c>
      <c r="E18" s="63">
        <v>8.50617469066</v>
      </c>
      <c r="F18" s="62">
        <v>0.0</v>
      </c>
      <c r="G18" s="71">
        <v>0.0</v>
      </c>
      <c r="H18" s="71">
        <v>6000.0</v>
      </c>
      <c r="I18" s="64" t="s">
        <v>1092</v>
      </c>
      <c r="J18" s="62">
        <v>2500.0</v>
      </c>
      <c r="K18" s="62">
        <v>1000.0</v>
      </c>
      <c r="L18" s="62">
        <v>4000.0</v>
      </c>
      <c r="M18" s="62">
        <v>3000.0</v>
      </c>
      <c r="N18" s="62">
        <v>0.0</v>
      </c>
      <c r="O18" s="62">
        <v>0.0</v>
      </c>
      <c r="P18" s="62">
        <v>0.0</v>
      </c>
      <c r="Q18" s="62">
        <v>1000.0</v>
      </c>
      <c r="R18" s="62">
        <v>3500.0</v>
      </c>
      <c r="S18" s="62">
        <v>3500.0</v>
      </c>
      <c r="T18" s="62">
        <v>2000.0</v>
      </c>
      <c r="U18" s="62">
        <v>0.0</v>
      </c>
      <c r="V18" s="62">
        <v>2000.0</v>
      </c>
      <c r="W18" s="62">
        <v>3000.0</v>
      </c>
      <c r="X18" s="62">
        <v>3000.0</v>
      </c>
      <c r="Y18" s="62">
        <v>1000.0</v>
      </c>
      <c r="Z18" s="62">
        <v>0.0</v>
      </c>
      <c r="AA18" s="62">
        <v>0.0</v>
      </c>
      <c r="AB18" s="62">
        <v>2500.0</v>
      </c>
      <c r="AC18" s="62">
        <v>6000.0</v>
      </c>
      <c r="AD18" s="62">
        <v>0.0</v>
      </c>
    </row>
    <row r="19" ht="22.5" customHeight="1">
      <c r="A19" s="62" t="s">
        <v>95</v>
      </c>
      <c r="B19" s="62" t="s">
        <v>1157</v>
      </c>
      <c r="C19" s="62" t="s">
        <v>1158</v>
      </c>
      <c r="D19" s="62">
        <v>2027.0</v>
      </c>
      <c r="E19" s="63">
        <v>27.3393036699</v>
      </c>
      <c r="F19" s="62">
        <v>3000.0</v>
      </c>
      <c r="G19" s="71">
        <v>0.0</v>
      </c>
      <c r="H19" s="71">
        <v>0.0</v>
      </c>
      <c r="I19" s="64" t="s">
        <v>1092</v>
      </c>
      <c r="J19" s="62">
        <v>12000.0</v>
      </c>
      <c r="K19" s="62">
        <v>10000.0</v>
      </c>
      <c r="L19" s="62">
        <v>0.0</v>
      </c>
      <c r="M19" s="62">
        <v>0.0</v>
      </c>
      <c r="N19" s="62">
        <v>15000.0</v>
      </c>
      <c r="O19" s="62">
        <v>15000.0</v>
      </c>
      <c r="P19" s="62">
        <v>4000.0</v>
      </c>
      <c r="Q19" s="62">
        <v>0.0</v>
      </c>
      <c r="R19" s="62">
        <v>0.0</v>
      </c>
      <c r="S19" s="62">
        <v>3000.0</v>
      </c>
      <c r="T19" s="62">
        <v>12000.0</v>
      </c>
      <c r="U19" s="62">
        <v>10000.0</v>
      </c>
      <c r="V19" s="62">
        <v>7000.0</v>
      </c>
      <c r="W19" s="62">
        <v>9000.0</v>
      </c>
      <c r="X19" s="62">
        <v>0.0</v>
      </c>
      <c r="Y19" s="62">
        <v>0.0</v>
      </c>
      <c r="Z19" s="62">
        <v>10000.0</v>
      </c>
      <c r="AA19" s="62">
        <v>10000.0</v>
      </c>
      <c r="AB19" s="62">
        <v>0.0</v>
      </c>
      <c r="AC19" s="62">
        <v>0.0</v>
      </c>
      <c r="AD19" s="62">
        <v>0.0</v>
      </c>
    </row>
    <row r="20" ht="22.5" customHeight="1">
      <c r="A20" s="62" t="s">
        <v>95</v>
      </c>
      <c r="B20" s="62" t="s">
        <v>1119</v>
      </c>
      <c r="C20" s="62" t="s">
        <v>1120</v>
      </c>
      <c r="D20" s="62">
        <v>2023.0</v>
      </c>
      <c r="E20" s="63">
        <v>33.5305766338</v>
      </c>
      <c r="F20" s="62">
        <v>0.0</v>
      </c>
      <c r="G20" s="71">
        <v>0.0</v>
      </c>
      <c r="H20" s="71">
        <v>0.0</v>
      </c>
      <c r="I20" s="64" t="s">
        <v>1092</v>
      </c>
      <c r="J20" s="62">
        <v>24000.0</v>
      </c>
      <c r="K20" s="62">
        <v>5000.0</v>
      </c>
      <c r="L20" s="62">
        <v>20000.0</v>
      </c>
      <c r="M20" s="62">
        <v>20000.0</v>
      </c>
      <c r="N20" s="62">
        <v>15000.0</v>
      </c>
      <c r="O20" s="62">
        <v>6000.0</v>
      </c>
      <c r="P20" s="62">
        <v>9000.0</v>
      </c>
      <c r="Q20" s="62">
        <v>14000.0</v>
      </c>
      <c r="R20" s="62">
        <v>7000.0</v>
      </c>
      <c r="S20" s="62">
        <v>7000.0</v>
      </c>
      <c r="T20" s="62">
        <v>0.0</v>
      </c>
      <c r="U20" s="62">
        <v>0.0</v>
      </c>
      <c r="V20" s="62">
        <v>25000.0</v>
      </c>
      <c r="W20" s="62">
        <v>15000.0</v>
      </c>
      <c r="X20" s="62">
        <v>12000.0</v>
      </c>
      <c r="Y20" s="62">
        <v>0.0</v>
      </c>
      <c r="Z20" s="62">
        <v>0.0</v>
      </c>
      <c r="AA20" s="62">
        <v>22000.0</v>
      </c>
      <c r="AB20" s="62">
        <v>20000.0</v>
      </c>
      <c r="AC20" s="62">
        <v>15000.0</v>
      </c>
      <c r="AD20" s="62">
        <v>0.0</v>
      </c>
    </row>
    <row r="21" ht="22.5" customHeight="1">
      <c r="A21" s="62" t="s">
        <v>95</v>
      </c>
      <c r="B21" s="62" t="s">
        <v>1129</v>
      </c>
      <c r="C21" s="62" t="s">
        <v>1130</v>
      </c>
      <c r="D21" s="62">
        <v>2025.0</v>
      </c>
      <c r="E21" s="63">
        <v>21.6827396902</v>
      </c>
      <c r="F21" s="62">
        <v>2000.0</v>
      </c>
      <c r="G21" s="71">
        <v>0.0</v>
      </c>
      <c r="H21" s="71">
        <v>0.0</v>
      </c>
      <c r="I21" s="64" t="s">
        <v>1092</v>
      </c>
      <c r="J21" s="62">
        <v>0.0</v>
      </c>
      <c r="K21" s="62">
        <v>3000.0</v>
      </c>
      <c r="L21" s="62">
        <v>11000.0</v>
      </c>
      <c r="M21" s="62">
        <v>11000.0</v>
      </c>
      <c r="N21" s="62">
        <v>6000.0</v>
      </c>
      <c r="O21" s="62">
        <v>0.0</v>
      </c>
      <c r="P21" s="62">
        <v>0.0</v>
      </c>
      <c r="Q21" s="62">
        <v>0.0</v>
      </c>
      <c r="R21" s="62">
        <v>0.0</v>
      </c>
      <c r="S21" s="62">
        <v>6000.0</v>
      </c>
      <c r="T21" s="62">
        <v>8000.0</v>
      </c>
      <c r="U21" s="62">
        <v>6000.0</v>
      </c>
      <c r="V21" s="62">
        <v>0.0</v>
      </c>
      <c r="W21" s="62">
        <v>3000.0</v>
      </c>
      <c r="X21" s="62">
        <v>7000.0</v>
      </c>
      <c r="Y21" s="62">
        <v>7000.0</v>
      </c>
      <c r="Z21" s="62">
        <v>0.0</v>
      </c>
      <c r="AA21" s="62">
        <v>0.0</v>
      </c>
      <c r="AB21" s="62">
        <v>0.0</v>
      </c>
      <c r="AC21" s="62">
        <v>0.0</v>
      </c>
      <c r="AD21" s="62">
        <v>0.0</v>
      </c>
    </row>
    <row r="22" ht="22.5" customHeight="1">
      <c r="A22" s="62" t="s">
        <v>95</v>
      </c>
      <c r="B22" s="62" t="s">
        <v>1168</v>
      </c>
      <c r="C22" s="62" t="s">
        <v>1169</v>
      </c>
      <c r="D22" s="62" t="s">
        <v>1163</v>
      </c>
      <c r="E22" s="63">
        <v>8.73790091166</v>
      </c>
      <c r="F22" s="62">
        <v>6000.0</v>
      </c>
      <c r="G22" s="71">
        <v>5000.0</v>
      </c>
      <c r="H22" s="71">
        <v>4500.0</v>
      </c>
      <c r="I22" s="64" t="s">
        <v>1092</v>
      </c>
      <c r="J22" s="62">
        <v>0.0</v>
      </c>
      <c r="K22" s="62">
        <v>0.0</v>
      </c>
      <c r="L22" s="62">
        <v>0.0</v>
      </c>
      <c r="M22" s="62">
        <v>0.0</v>
      </c>
      <c r="N22" s="62">
        <v>0.0</v>
      </c>
      <c r="O22" s="62">
        <v>0.0</v>
      </c>
      <c r="P22" s="62">
        <v>0.0</v>
      </c>
      <c r="Q22" s="62">
        <v>0.0</v>
      </c>
      <c r="R22" s="62">
        <v>0.0</v>
      </c>
      <c r="S22" s="62">
        <v>0.0</v>
      </c>
      <c r="T22" s="62">
        <v>0.0</v>
      </c>
      <c r="U22" s="62">
        <v>1000.0</v>
      </c>
      <c r="V22" s="62">
        <v>0.0</v>
      </c>
      <c r="W22" s="62">
        <v>0.0</v>
      </c>
      <c r="X22" s="62">
        <v>0.0</v>
      </c>
      <c r="Y22" s="62">
        <v>0.0</v>
      </c>
      <c r="Z22" s="62">
        <v>0.0</v>
      </c>
      <c r="AA22" s="62">
        <v>0.0</v>
      </c>
      <c r="AB22" s="62">
        <v>0.0</v>
      </c>
      <c r="AC22" s="62">
        <v>0.0</v>
      </c>
      <c r="AD22" s="62">
        <v>0.0</v>
      </c>
    </row>
    <row r="23" ht="22.5" customHeight="1">
      <c r="A23" s="62" t="s">
        <v>95</v>
      </c>
      <c r="B23" s="62" t="s">
        <v>1101</v>
      </c>
      <c r="C23" s="62" t="s">
        <v>1102</v>
      </c>
      <c r="D23" s="62">
        <v>2022.0</v>
      </c>
      <c r="E23" s="63">
        <v>7.2930020469</v>
      </c>
      <c r="F23" s="62">
        <v>1000.0</v>
      </c>
      <c r="G23" s="71">
        <v>1000.0</v>
      </c>
      <c r="H23" s="71">
        <v>3000.0</v>
      </c>
      <c r="I23" s="64" t="s">
        <v>1092</v>
      </c>
      <c r="J23" s="62">
        <v>0.0</v>
      </c>
      <c r="K23" s="62">
        <v>0.0</v>
      </c>
      <c r="L23" s="62">
        <v>0.0</v>
      </c>
      <c r="M23" s="62">
        <v>0.0</v>
      </c>
      <c r="N23" s="62">
        <v>0.0</v>
      </c>
      <c r="O23" s="62">
        <v>0.0</v>
      </c>
      <c r="P23" s="62">
        <v>0.0</v>
      </c>
      <c r="Q23" s="62">
        <v>1000.0</v>
      </c>
      <c r="R23" s="62">
        <v>2500.0</v>
      </c>
      <c r="S23" s="62">
        <v>3500.0</v>
      </c>
      <c r="T23" s="62">
        <v>1000.0</v>
      </c>
      <c r="U23" s="62">
        <v>2000.0</v>
      </c>
      <c r="V23" s="62">
        <v>0.0</v>
      </c>
      <c r="W23" s="62">
        <v>0.0</v>
      </c>
      <c r="X23" s="62">
        <v>2000.0</v>
      </c>
      <c r="Y23" s="62">
        <v>0.0</v>
      </c>
      <c r="Z23" s="62">
        <v>2000.0</v>
      </c>
      <c r="AA23" s="62">
        <v>2000.0</v>
      </c>
      <c r="AB23" s="62">
        <v>1000.0</v>
      </c>
      <c r="AC23" s="62">
        <v>0.0</v>
      </c>
      <c r="AD23" s="62">
        <v>0.0</v>
      </c>
    </row>
    <row r="24" ht="22.5" customHeight="1">
      <c r="A24" s="62" t="s">
        <v>95</v>
      </c>
      <c r="B24" s="62" t="s">
        <v>1105</v>
      </c>
      <c r="C24" s="62" t="s">
        <v>1106</v>
      </c>
      <c r="D24" s="62">
        <v>2022.0</v>
      </c>
      <c r="E24" s="63">
        <v>21.6269020049</v>
      </c>
      <c r="F24" s="62">
        <v>2500.0</v>
      </c>
      <c r="G24" s="71">
        <v>0.0</v>
      </c>
      <c r="H24" s="71">
        <v>15000.0</v>
      </c>
      <c r="I24" s="64" t="s">
        <v>1092</v>
      </c>
      <c r="J24" s="62">
        <v>8000.0</v>
      </c>
      <c r="K24" s="62">
        <v>0.0</v>
      </c>
      <c r="L24" s="62">
        <v>0.0</v>
      </c>
      <c r="M24" s="62">
        <v>0.0</v>
      </c>
      <c r="N24" s="62">
        <v>0.0</v>
      </c>
      <c r="O24" s="62">
        <v>0.0</v>
      </c>
      <c r="P24" s="62">
        <v>12000.0</v>
      </c>
      <c r="Q24" s="62">
        <v>8000.0</v>
      </c>
      <c r="R24" s="62">
        <v>4000.0</v>
      </c>
      <c r="S24" s="62">
        <v>0.0</v>
      </c>
      <c r="T24" s="62">
        <v>0.0</v>
      </c>
      <c r="U24" s="62">
        <v>6000.0</v>
      </c>
      <c r="V24" s="62">
        <v>15000.0</v>
      </c>
      <c r="W24" s="62">
        <v>15000.0</v>
      </c>
      <c r="X24" s="62">
        <v>0.0</v>
      </c>
      <c r="Y24" s="62">
        <v>0.0</v>
      </c>
      <c r="Z24" s="62">
        <v>8000.0</v>
      </c>
      <c r="AA24" s="62">
        <v>12000.0</v>
      </c>
      <c r="AB24" s="62">
        <v>8000.0</v>
      </c>
      <c r="AC24" s="62">
        <v>0.0</v>
      </c>
      <c r="AD24" s="62">
        <v>0.0</v>
      </c>
    </row>
    <row r="25" ht="22.5" customHeight="1">
      <c r="A25" s="62" t="s">
        <v>95</v>
      </c>
      <c r="B25" s="62" t="s">
        <v>1093</v>
      </c>
      <c r="C25" s="62" t="s">
        <v>1094</v>
      </c>
      <c r="D25" s="62">
        <v>2021.0</v>
      </c>
      <c r="E25" s="63">
        <v>31.0370262599</v>
      </c>
      <c r="F25" s="62">
        <v>0.0</v>
      </c>
      <c r="G25" s="71">
        <v>0.0</v>
      </c>
      <c r="H25" s="71">
        <v>8000.0</v>
      </c>
      <c r="I25" s="64" t="s">
        <v>1092</v>
      </c>
      <c r="J25" s="62">
        <v>12000.0</v>
      </c>
      <c r="K25" s="62">
        <v>4000.0</v>
      </c>
      <c r="L25" s="62">
        <v>0.0</v>
      </c>
      <c r="M25" s="62">
        <v>0.0</v>
      </c>
      <c r="N25" s="62">
        <v>0.0</v>
      </c>
      <c r="O25" s="62">
        <v>7000.0</v>
      </c>
      <c r="P25" s="62">
        <v>18000.0</v>
      </c>
      <c r="Q25" s="62">
        <v>10000.0</v>
      </c>
      <c r="R25" s="62">
        <v>8000.0</v>
      </c>
      <c r="S25" s="62">
        <v>3000.0</v>
      </c>
      <c r="T25" s="62">
        <v>3000.0</v>
      </c>
      <c r="U25" s="62">
        <v>6000.0</v>
      </c>
      <c r="V25" s="62">
        <v>6000.0</v>
      </c>
      <c r="W25" s="62">
        <v>0.0</v>
      </c>
      <c r="X25" s="62">
        <v>0.0</v>
      </c>
      <c r="Y25" s="62">
        <v>10000.0</v>
      </c>
      <c r="Z25" s="62">
        <v>18000.0</v>
      </c>
      <c r="AA25" s="62">
        <v>18000.0</v>
      </c>
      <c r="AB25" s="62">
        <v>10000.0</v>
      </c>
      <c r="AC25" s="62">
        <v>0.0</v>
      </c>
      <c r="AD25" s="62">
        <v>0.0</v>
      </c>
    </row>
    <row r="26" ht="22.5" customHeight="1">
      <c r="A26" s="62" t="s">
        <v>95</v>
      </c>
      <c r="B26" s="62" t="s">
        <v>1123</v>
      </c>
      <c r="C26" s="62" t="s">
        <v>1124</v>
      </c>
      <c r="D26" s="62">
        <v>2024.0</v>
      </c>
      <c r="E26" s="63">
        <v>21.0156820939</v>
      </c>
      <c r="F26" s="62">
        <v>5000.0</v>
      </c>
      <c r="G26" s="71">
        <v>5000.0</v>
      </c>
      <c r="H26" s="71">
        <v>5000.0</v>
      </c>
      <c r="I26" s="64" t="s">
        <v>1092</v>
      </c>
      <c r="J26" s="62">
        <v>15000.0</v>
      </c>
      <c r="K26" s="62">
        <v>15000.0</v>
      </c>
      <c r="L26" s="62">
        <v>10000.0</v>
      </c>
      <c r="M26" s="62">
        <v>8000.0</v>
      </c>
      <c r="N26" s="62">
        <v>0.0</v>
      </c>
      <c r="O26" s="62">
        <v>0.0</v>
      </c>
      <c r="P26" s="62">
        <v>8000.0</v>
      </c>
      <c r="Q26" s="62">
        <v>16000.0</v>
      </c>
      <c r="R26" s="62">
        <v>6000.0</v>
      </c>
      <c r="S26" s="62">
        <v>5000.0</v>
      </c>
      <c r="T26" s="62">
        <v>0.0</v>
      </c>
      <c r="U26" s="62">
        <v>0.0</v>
      </c>
      <c r="V26" s="62">
        <v>3000.0</v>
      </c>
      <c r="W26" s="62">
        <v>15000.0</v>
      </c>
      <c r="X26" s="62">
        <v>11000.0</v>
      </c>
      <c r="Y26" s="62">
        <v>5000.0</v>
      </c>
      <c r="Z26" s="62">
        <v>0.0</v>
      </c>
      <c r="AA26" s="62">
        <v>3000.0</v>
      </c>
      <c r="AB26" s="62">
        <v>12000.0</v>
      </c>
      <c r="AC26" s="62">
        <v>12000.0</v>
      </c>
      <c r="AD26" s="62">
        <v>0.0</v>
      </c>
    </row>
    <row r="27" ht="22.5" customHeight="1">
      <c r="A27" s="62" t="s">
        <v>234</v>
      </c>
      <c r="B27" s="62" t="s">
        <v>1155</v>
      </c>
      <c r="C27" s="62" t="s">
        <v>1156</v>
      </c>
      <c r="D27" s="62">
        <v>2026.0</v>
      </c>
      <c r="E27" s="63">
        <v>18.753786413</v>
      </c>
      <c r="F27" s="62">
        <v>0.0</v>
      </c>
      <c r="G27" s="71">
        <v>0.0</v>
      </c>
      <c r="H27" s="71">
        <v>0.0</v>
      </c>
      <c r="I27" s="64" t="s">
        <v>1092</v>
      </c>
      <c r="J27" s="62">
        <v>3000.0</v>
      </c>
      <c r="K27" s="62">
        <v>2000.0</v>
      </c>
      <c r="L27" s="62">
        <v>0.0</v>
      </c>
      <c r="M27" s="62">
        <v>0.0</v>
      </c>
      <c r="N27" s="62">
        <v>0.0</v>
      </c>
      <c r="O27" s="62">
        <v>4000.0</v>
      </c>
      <c r="P27" s="62">
        <v>10000.0</v>
      </c>
      <c r="Q27" s="62">
        <v>10000.0</v>
      </c>
      <c r="R27" s="62">
        <v>3000.0</v>
      </c>
      <c r="S27" s="62">
        <v>0.0</v>
      </c>
      <c r="T27" s="62">
        <v>0.0</v>
      </c>
      <c r="U27" s="62">
        <v>3000.0</v>
      </c>
      <c r="V27" s="62">
        <v>5000.0</v>
      </c>
      <c r="W27" s="62">
        <v>6000.0</v>
      </c>
      <c r="X27" s="62">
        <v>8000.0</v>
      </c>
      <c r="Y27" s="62">
        <v>4000.0</v>
      </c>
      <c r="Z27" s="62">
        <v>0.0</v>
      </c>
      <c r="AA27" s="62">
        <v>0.0</v>
      </c>
      <c r="AB27" s="62">
        <v>0.0</v>
      </c>
      <c r="AC27" s="62">
        <v>0.0</v>
      </c>
      <c r="AD27" s="62">
        <v>0.0</v>
      </c>
    </row>
    <row r="28" ht="22.5" customHeight="1">
      <c r="A28" s="62" t="s">
        <v>234</v>
      </c>
      <c r="B28" s="62" t="s">
        <v>1170</v>
      </c>
      <c r="C28" s="62" t="s">
        <v>1171</v>
      </c>
      <c r="D28" s="62" t="s">
        <v>1163</v>
      </c>
      <c r="E28" s="63">
        <v>10.9539335449</v>
      </c>
      <c r="F28" s="62">
        <v>5000.0</v>
      </c>
      <c r="G28" s="71">
        <v>0.0</v>
      </c>
      <c r="H28" s="71">
        <v>0.0</v>
      </c>
      <c r="I28" s="64" t="s">
        <v>1092</v>
      </c>
      <c r="J28" s="62">
        <v>1500.0</v>
      </c>
      <c r="K28" s="62">
        <v>1000.0</v>
      </c>
      <c r="L28" s="62">
        <v>0.0</v>
      </c>
      <c r="M28" s="62">
        <v>0.0</v>
      </c>
      <c r="N28" s="62">
        <v>0.0</v>
      </c>
      <c r="O28" s="62">
        <v>2500.0</v>
      </c>
      <c r="P28" s="62">
        <v>2500.0</v>
      </c>
      <c r="Q28" s="62">
        <v>0.0</v>
      </c>
      <c r="R28" s="62">
        <v>0.0</v>
      </c>
      <c r="S28" s="62">
        <v>0.0</v>
      </c>
      <c r="T28" s="62">
        <v>0.0</v>
      </c>
      <c r="U28" s="62">
        <v>0.0</v>
      </c>
      <c r="V28" s="62">
        <v>1000.0</v>
      </c>
      <c r="W28" s="62">
        <v>0.0</v>
      </c>
      <c r="X28" s="62">
        <v>0.0</v>
      </c>
      <c r="Y28" s="62">
        <v>0.0</v>
      </c>
      <c r="Z28" s="62">
        <v>0.0</v>
      </c>
      <c r="AA28" s="62">
        <v>0.0</v>
      </c>
      <c r="AB28" s="62">
        <v>0.0</v>
      </c>
      <c r="AC28" s="62">
        <v>0.0</v>
      </c>
      <c r="AD28" s="62">
        <v>0.0</v>
      </c>
    </row>
    <row r="29" ht="22.5" customHeight="1">
      <c r="A29" s="62" t="s">
        <v>234</v>
      </c>
      <c r="B29" s="62" t="s">
        <v>1174</v>
      </c>
      <c r="C29" s="62" t="s">
        <v>1175</v>
      </c>
      <c r="D29" s="62" t="s">
        <v>1163</v>
      </c>
      <c r="E29" s="63">
        <v>4.64954341293</v>
      </c>
      <c r="F29" s="62">
        <v>5000.0</v>
      </c>
      <c r="G29" s="71">
        <v>1000.0</v>
      </c>
      <c r="H29" s="71">
        <v>0.0</v>
      </c>
      <c r="I29" s="64" t="s">
        <v>1092</v>
      </c>
      <c r="J29" s="62">
        <v>0.0</v>
      </c>
      <c r="K29" s="62">
        <v>0.0</v>
      </c>
      <c r="L29" s="62">
        <v>0.0</v>
      </c>
      <c r="M29" s="62">
        <v>0.0</v>
      </c>
      <c r="N29" s="62">
        <v>0.0</v>
      </c>
      <c r="O29" s="62">
        <v>2000.0</v>
      </c>
      <c r="P29" s="62">
        <v>2000.0</v>
      </c>
      <c r="Q29" s="62">
        <v>0.0</v>
      </c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2">
        <v>0.0</v>
      </c>
      <c r="Y29" s="62">
        <v>0.0</v>
      </c>
      <c r="Z29" s="62">
        <v>0.0</v>
      </c>
      <c r="AA29" s="62">
        <v>0.0</v>
      </c>
      <c r="AB29" s="62">
        <v>0.0</v>
      </c>
      <c r="AC29" s="62">
        <v>0.0</v>
      </c>
      <c r="AD29" s="62">
        <v>0.0</v>
      </c>
    </row>
    <row r="30" ht="22.5" customHeight="1">
      <c r="A30" s="62" t="s">
        <v>116</v>
      </c>
      <c r="B30" s="62" t="s">
        <v>1190</v>
      </c>
      <c r="C30" s="62" t="s">
        <v>1191</v>
      </c>
      <c r="D30" s="62" t="s">
        <v>1163</v>
      </c>
      <c r="E30" s="63">
        <v>2.23781443696</v>
      </c>
      <c r="F30" s="62">
        <v>0.0</v>
      </c>
      <c r="G30" s="71">
        <v>0.0</v>
      </c>
      <c r="H30" s="71">
        <v>0.0</v>
      </c>
      <c r="I30" s="64" t="s">
        <v>1092</v>
      </c>
      <c r="J30" s="62">
        <v>0.0</v>
      </c>
      <c r="K30" s="62">
        <v>0.0</v>
      </c>
      <c r="L30" s="62">
        <v>0.0</v>
      </c>
      <c r="M30" s="62">
        <v>0.0</v>
      </c>
      <c r="N30" s="62">
        <v>0.0</v>
      </c>
      <c r="O30" s="62">
        <v>0.0</v>
      </c>
      <c r="P30" s="62">
        <v>0.0</v>
      </c>
      <c r="Q30" s="62">
        <v>0.0</v>
      </c>
      <c r="R30" s="62">
        <v>0.0</v>
      </c>
      <c r="S30" s="62">
        <v>0.0</v>
      </c>
      <c r="T30" s="62">
        <v>0.0</v>
      </c>
      <c r="U30" s="62">
        <v>0.0</v>
      </c>
      <c r="V30" s="62">
        <v>0.0</v>
      </c>
      <c r="W30" s="62">
        <v>0.0</v>
      </c>
      <c r="X30" s="62">
        <v>0.0</v>
      </c>
      <c r="Y30" s="62">
        <v>0.0</v>
      </c>
      <c r="Z30" s="62">
        <v>0.0</v>
      </c>
      <c r="AA30" s="62">
        <v>0.0</v>
      </c>
      <c r="AB30" s="62">
        <v>0.0</v>
      </c>
      <c r="AC30" s="62">
        <v>0.0</v>
      </c>
      <c r="AD30" s="62">
        <v>0.0</v>
      </c>
    </row>
    <row r="31" ht="22.5" customHeight="1">
      <c r="A31" s="62" t="s">
        <v>116</v>
      </c>
      <c r="B31" s="62" t="s">
        <v>1135</v>
      </c>
      <c r="C31" s="62" t="s">
        <v>1136</v>
      </c>
      <c r="D31" s="62">
        <v>2025.0</v>
      </c>
      <c r="E31" s="63">
        <v>9.37382988567</v>
      </c>
      <c r="F31" s="62">
        <v>0.0</v>
      </c>
      <c r="G31" s="71">
        <v>4000.0</v>
      </c>
      <c r="H31" s="71">
        <v>9000.0</v>
      </c>
      <c r="I31" s="64" t="s">
        <v>1092</v>
      </c>
      <c r="J31" s="62">
        <v>6000.0</v>
      </c>
      <c r="K31" s="62">
        <v>2000.0</v>
      </c>
      <c r="L31" s="62">
        <v>0.0</v>
      </c>
      <c r="M31" s="62">
        <v>5000.0</v>
      </c>
      <c r="N31" s="62">
        <v>6000.0</v>
      </c>
      <c r="O31" s="62">
        <v>2000.0</v>
      </c>
      <c r="P31" s="62">
        <v>0.0</v>
      </c>
      <c r="Q31" s="62">
        <v>1000.0</v>
      </c>
      <c r="R31" s="62">
        <v>2500.0</v>
      </c>
      <c r="S31" s="62">
        <v>6000.0</v>
      </c>
      <c r="T31" s="62">
        <v>2000.0</v>
      </c>
      <c r="U31" s="62">
        <v>1000.0</v>
      </c>
      <c r="V31" s="62">
        <v>5000.0</v>
      </c>
      <c r="W31" s="62">
        <v>6000.0</v>
      </c>
      <c r="X31" s="62">
        <v>3000.0</v>
      </c>
      <c r="Y31" s="62">
        <v>1000.0</v>
      </c>
      <c r="Z31" s="62">
        <v>0.0</v>
      </c>
      <c r="AA31" s="62">
        <v>0.0</v>
      </c>
      <c r="AB31" s="62">
        <v>0.0</v>
      </c>
      <c r="AC31" s="62">
        <v>0.0</v>
      </c>
      <c r="AD31" s="62">
        <v>0.0</v>
      </c>
    </row>
    <row r="32" ht="22.5" customHeight="1">
      <c r="A32" s="62" t="s">
        <v>116</v>
      </c>
      <c r="B32" s="62" t="s">
        <v>1121</v>
      </c>
      <c r="C32" s="62" t="s">
        <v>1122</v>
      </c>
      <c r="D32" s="62">
        <v>2023.0</v>
      </c>
      <c r="E32" s="63">
        <v>14.3065187754</v>
      </c>
      <c r="F32" s="62">
        <v>0.0</v>
      </c>
      <c r="G32" s="71">
        <v>0.0</v>
      </c>
      <c r="H32" s="71">
        <v>7000.0</v>
      </c>
      <c r="I32" s="64" t="s">
        <v>1092</v>
      </c>
      <c r="J32" s="62">
        <v>10000.0</v>
      </c>
      <c r="K32" s="62">
        <v>2000.0</v>
      </c>
      <c r="L32" s="62">
        <v>0.0</v>
      </c>
      <c r="M32" s="62">
        <v>8000.0</v>
      </c>
      <c r="N32" s="62">
        <v>5000.0</v>
      </c>
      <c r="O32" s="62">
        <v>2000.0</v>
      </c>
      <c r="P32" s="62">
        <v>0.0</v>
      </c>
      <c r="Q32" s="62">
        <v>0.0</v>
      </c>
      <c r="R32" s="62">
        <v>0.0</v>
      </c>
      <c r="S32" s="62">
        <v>7000.0</v>
      </c>
      <c r="T32" s="62">
        <v>5000.0</v>
      </c>
      <c r="U32" s="62">
        <v>4500.0</v>
      </c>
      <c r="V32" s="62">
        <v>2000.0</v>
      </c>
      <c r="W32" s="62">
        <v>5000.0</v>
      </c>
      <c r="X32" s="62">
        <v>0.0</v>
      </c>
      <c r="Y32" s="62">
        <v>0.0</v>
      </c>
      <c r="Z32" s="62">
        <v>0.0</v>
      </c>
      <c r="AA32" s="62">
        <v>4200.0</v>
      </c>
      <c r="AB32" s="62">
        <v>6000.0</v>
      </c>
      <c r="AC32" s="62">
        <v>3000.0</v>
      </c>
      <c r="AD32" s="62">
        <v>0.0</v>
      </c>
    </row>
    <row r="33" ht="22.5" customHeight="1">
      <c r="A33" s="62" t="s">
        <v>234</v>
      </c>
      <c r="B33" s="62" t="s">
        <v>1153</v>
      </c>
      <c r="C33" s="62" t="s">
        <v>1154</v>
      </c>
      <c r="D33" s="62">
        <v>2026.0</v>
      </c>
      <c r="E33" s="63">
        <v>21.8680151198</v>
      </c>
      <c r="F33" s="62">
        <v>1000.0</v>
      </c>
      <c r="G33" s="71">
        <v>0.0</v>
      </c>
      <c r="H33" s="71">
        <v>25000.0</v>
      </c>
      <c r="I33" s="64" t="s">
        <v>1092</v>
      </c>
      <c r="J33" s="62">
        <v>9000.0</v>
      </c>
      <c r="K33" s="62">
        <v>0.0</v>
      </c>
      <c r="L33" s="62">
        <v>0.0</v>
      </c>
      <c r="M33" s="62">
        <v>10000.0</v>
      </c>
      <c r="N33" s="62">
        <v>8000.0</v>
      </c>
      <c r="O33" s="62">
        <v>2000.0</v>
      </c>
      <c r="P33" s="62">
        <v>0.0</v>
      </c>
      <c r="Q33" s="62">
        <v>5000.0</v>
      </c>
      <c r="R33" s="62">
        <v>5000.0</v>
      </c>
      <c r="S33" s="62">
        <v>5000.0</v>
      </c>
      <c r="T33" s="62">
        <v>2000.0</v>
      </c>
      <c r="U33" s="62">
        <v>3000.0</v>
      </c>
      <c r="V33" s="62">
        <v>8000.0</v>
      </c>
      <c r="W33" s="62">
        <v>12000.0</v>
      </c>
      <c r="X33" s="62">
        <v>0.0</v>
      </c>
      <c r="Y33" s="62">
        <v>0.0</v>
      </c>
      <c r="Z33" s="62">
        <v>0.0</v>
      </c>
      <c r="AA33" s="62">
        <v>0.0</v>
      </c>
      <c r="AB33" s="62">
        <v>0.0</v>
      </c>
      <c r="AC33" s="62">
        <v>0.0</v>
      </c>
      <c r="AD33" s="62">
        <v>0.0</v>
      </c>
    </row>
    <row r="34" ht="22.5" customHeight="1">
      <c r="A34" s="62" t="s">
        <v>95</v>
      </c>
      <c r="B34" s="62" t="s">
        <v>1131</v>
      </c>
      <c r="C34" s="62" t="s">
        <v>1132</v>
      </c>
      <c r="D34" s="62">
        <v>2025.0</v>
      </c>
      <c r="E34" s="63">
        <v>27.6824254054</v>
      </c>
      <c r="F34" s="62">
        <v>0.0</v>
      </c>
      <c r="G34" s="71">
        <v>6000.0</v>
      </c>
      <c r="H34" s="71">
        <v>8000.0</v>
      </c>
      <c r="I34" s="64" t="s">
        <v>1092</v>
      </c>
      <c r="J34" s="62">
        <v>0.0</v>
      </c>
      <c r="K34" s="62">
        <v>15000.0</v>
      </c>
      <c r="L34" s="62">
        <v>15000.0</v>
      </c>
      <c r="M34" s="62">
        <v>15000.0</v>
      </c>
      <c r="N34" s="62">
        <v>8000.0</v>
      </c>
      <c r="O34" s="62">
        <v>0.0</v>
      </c>
      <c r="P34" s="62">
        <v>0.0</v>
      </c>
      <c r="Q34" s="62">
        <v>3000.0</v>
      </c>
      <c r="R34" s="62">
        <v>6000.0</v>
      </c>
      <c r="S34" s="62">
        <v>12000.0</v>
      </c>
      <c r="T34" s="62">
        <v>8000.0</v>
      </c>
      <c r="U34" s="62">
        <v>0.0</v>
      </c>
      <c r="V34" s="62">
        <v>3000.0</v>
      </c>
      <c r="W34" s="62">
        <v>12000.0</v>
      </c>
      <c r="X34" s="62">
        <v>18000.0</v>
      </c>
      <c r="Y34" s="62">
        <v>9000.0</v>
      </c>
      <c r="Z34" s="62">
        <v>0.0</v>
      </c>
      <c r="AA34" s="62">
        <v>0.0</v>
      </c>
      <c r="AB34" s="62">
        <v>0.0</v>
      </c>
      <c r="AC34" s="62">
        <v>0.0</v>
      </c>
      <c r="AD34" s="62">
        <v>0.0</v>
      </c>
    </row>
    <row r="35" ht="22.5" customHeight="1">
      <c r="A35" s="62" t="s">
        <v>234</v>
      </c>
      <c r="B35" s="62" t="s">
        <v>1159</v>
      </c>
      <c r="C35" s="62" t="s">
        <v>1160</v>
      </c>
      <c r="D35" s="62">
        <v>2027.0</v>
      </c>
      <c r="E35" s="63">
        <v>66.6681395928</v>
      </c>
      <c r="F35" s="62">
        <v>0.0</v>
      </c>
      <c r="G35" s="71">
        <v>0.0</v>
      </c>
      <c r="H35" s="71">
        <v>0.0</v>
      </c>
      <c r="I35" s="64" t="s">
        <v>1092</v>
      </c>
      <c r="J35" s="62">
        <v>0.0</v>
      </c>
      <c r="K35" s="62">
        <v>0.0</v>
      </c>
      <c r="L35" s="62">
        <v>0.0</v>
      </c>
      <c r="M35" s="62">
        <v>0.0</v>
      </c>
      <c r="N35" s="62">
        <v>0.0</v>
      </c>
      <c r="O35" s="62">
        <v>10000.0</v>
      </c>
      <c r="P35" s="62">
        <v>25000.0</v>
      </c>
      <c r="Q35" s="62">
        <v>15000.0</v>
      </c>
      <c r="R35" s="62">
        <v>0.0</v>
      </c>
      <c r="S35" s="62">
        <v>0.0</v>
      </c>
      <c r="T35" s="62">
        <v>0.0</v>
      </c>
      <c r="U35" s="62">
        <v>0.0</v>
      </c>
      <c r="V35" s="62">
        <v>10000.0</v>
      </c>
      <c r="W35" s="62">
        <v>10000.0</v>
      </c>
      <c r="X35" s="62">
        <v>20000.0</v>
      </c>
      <c r="Y35" s="62">
        <v>15000.0</v>
      </c>
      <c r="Z35" s="62">
        <v>12000.0</v>
      </c>
      <c r="AA35" s="62">
        <v>0.0</v>
      </c>
      <c r="AB35" s="62">
        <v>0.0</v>
      </c>
      <c r="AC35" s="62">
        <v>0.0</v>
      </c>
      <c r="AD35" s="62">
        <v>0.0</v>
      </c>
    </row>
    <row r="36" ht="22.5" customHeight="1">
      <c r="A36" s="62" t="s">
        <v>95</v>
      </c>
      <c r="B36" s="62" t="s">
        <v>1103</v>
      </c>
      <c r="C36" s="62" t="s">
        <v>1104</v>
      </c>
      <c r="D36" s="62">
        <v>2022.0</v>
      </c>
      <c r="E36" s="63">
        <v>16.8565995196</v>
      </c>
      <c r="F36" s="62">
        <v>3000.0</v>
      </c>
      <c r="G36" s="71">
        <v>3000.0</v>
      </c>
      <c r="H36" s="71">
        <v>0.0</v>
      </c>
      <c r="I36" s="64" t="s">
        <v>1092</v>
      </c>
      <c r="J36" s="62">
        <v>0.0</v>
      </c>
      <c r="K36" s="62">
        <v>0.0</v>
      </c>
      <c r="L36" s="62">
        <v>0.0</v>
      </c>
      <c r="M36" s="62">
        <v>0.0</v>
      </c>
      <c r="N36" s="62">
        <v>0.0</v>
      </c>
      <c r="O36" s="62">
        <v>0.0</v>
      </c>
      <c r="P36" s="62">
        <v>0.0</v>
      </c>
      <c r="Q36" s="62">
        <v>6000.0</v>
      </c>
      <c r="R36" s="62">
        <v>5000.0</v>
      </c>
      <c r="S36" s="62">
        <v>7000.0</v>
      </c>
      <c r="T36" s="62">
        <v>3000.0</v>
      </c>
      <c r="U36" s="62">
        <v>1000.0</v>
      </c>
      <c r="V36" s="62">
        <v>6000.0</v>
      </c>
      <c r="W36" s="62">
        <v>12000.0</v>
      </c>
      <c r="X36" s="62">
        <v>0.0</v>
      </c>
      <c r="Y36" s="62">
        <v>0.0</v>
      </c>
      <c r="Z36" s="62">
        <v>7000.0</v>
      </c>
      <c r="AA36" s="62">
        <v>5000.0</v>
      </c>
      <c r="AB36" s="62">
        <v>2000.0</v>
      </c>
      <c r="AC36" s="62">
        <v>0.0</v>
      </c>
      <c r="AD36" s="62">
        <v>0.0</v>
      </c>
    </row>
    <row r="37" ht="22.5" customHeight="1">
      <c r="A37" s="62" t="s">
        <v>95</v>
      </c>
      <c r="B37" s="62" t="s">
        <v>1117</v>
      </c>
      <c r="C37" s="62" t="s">
        <v>1118</v>
      </c>
      <c r="D37" s="62">
        <v>2023.0</v>
      </c>
      <c r="E37" s="63">
        <v>20.6444992475</v>
      </c>
      <c r="F37" s="62">
        <v>12000.0</v>
      </c>
      <c r="G37" s="71">
        <v>8000.0</v>
      </c>
      <c r="H37" s="71">
        <v>7000.0</v>
      </c>
      <c r="I37" s="64" t="s">
        <v>1092</v>
      </c>
      <c r="J37" s="62">
        <v>16000.0</v>
      </c>
      <c r="K37" s="62">
        <v>10000.0</v>
      </c>
      <c r="L37" s="62">
        <v>7000.0</v>
      </c>
      <c r="M37" s="62">
        <v>10000.0</v>
      </c>
      <c r="N37" s="62">
        <v>5000.0</v>
      </c>
      <c r="O37" s="62">
        <v>0.0</v>
      </c>
      <c r="P37" s="62">
        <v>0.0</v>
      </c>
      <c r="Q37" s="62">
        <v>8000.0</v>
      </c>
      <c r="R37" s="62">
        <v>8000.0</v>
      </c>
      <c r="S37" s="62">
        <v>5000.0</v>
      </c>
      <c r="T37" s="62">
        <v>3000.0</v>
      </c>
      <c r="U37" s="62">
        <v>3000.0</v>
      </c>
      <c r="V37" s="62">
        <v>8000.0</v>
      </c>
      <c r="W37" s="62">
        <v>12000.0</v>
      </c>
      <c r="X37" s="62">
        <v>8000.0</v>
      </c>
      <c r="Y37" s="62">
        <v>0.0</v>
      </c>
      <c r="Z37" s="62">
        <v>0.0</v>
      </c>
      <c r="AA37" s="62">
        <v>8000.0</v>
      </c>
      <c r="AB37" s="62">
        <v>5000.0</v>
      </c>
      <c r="AC37" s="62">
        <v>5000.0</v>
      </c>
      <c r="AD37" s="62">
        <v>0.0</v>
      </c>
    </row>
    <row r="38" ht="22.5" customHeight="1">
      <c r="A38" s="62" t="s">
        <v>246</v>
      </c>
      <c r="B38" s="62" t="s">
        <v>1123</v>
      </c>
      <c r="C38" s="62" t="s">
        <v>1143</v>
      </c>
      <c r="D38" s="62">
        <v>2026.0</v>
      </c>
      <c r="E38" s="63">
        <v>34.1928592778</v>
      </c>
      <c r="F38" s="62">
        <v>0.0</v>
      </c>
      <c r="G38" s="71">
        <v>0.0</v>
      </c>
      <c r="H38" s="71">
        <v>0.0</v>
      </c>
      <c r="I38" s="64" t="s">
        <v>1092</v>
      </c>
      <c r="J38" s="62">
        <v>0.0</v>
      </c>
      <c r="K38" s="62">
        <v>0.0</v>
      </c>
      <c r="L38" s="62">
        <v>0.0</v>
      </c>
      <c r="M38" s="62">
        <v>0.0</v>
      </c>
      <c r="N38" s="62">
        <v>0.0</v>
      </c>
      <c r="O38" s="62">
        <v>0.0</v>
      </c>
      <c r="P38" s="62">
        <v>0.0</v>
      </c>
      <c r="Q38" s="62">
        <v>0.0</v>
      </c>
      <c r="R38" s="62">
        <v>0.0</v>
      </c>
      <c r="S38" s="62">
        <v>13000.0</v>
      </c>
      <c r="T38" s="62">
        <v>6000.0</v>
      </c>
      <c r="U38" s="62">
        <v>10000.0</v>
      </c>
      <c r="V38" s="62">
        <v>4000.0</v>
      </c>
      <c r="W38" s="62">
        <v>0.0</v>
      </c>
      <c r="X38" s="62">
        <v>2000.0</v>
      </c>
      <c r="Y38" s="62">
        <v>6000.0</v>
      </c>
      <c r="Z38" s="62">
        <v>7500.0</v>
      </c>
      <c r="AA38" s="62">
        <v>10000.0</v>
      </c>
      <c r="AB38" s="62">
        <v>0.0</v>
      </c>
      <c r="AC38" s="62">
        <v>5000.0</v>
      </c>
      <c r="AD38" s="62">
        <v>20000.0</v>
      </c>
    </row>
    <row r="39" ht="22.5" customHeight="1">
      <c r="A39" s="62" t="s">
        <v>246</v>
      </c>
      <c r="B39" s="62" t="s">
        <v>1113</v>
      </c>
      <c r="C39" s="62" t="s">
        <v>1114</v>
      </c>
      <c r="D39" s="62">
        <v>2023.0</v>
      </c>
      <c r="E39" s="63">
        <v>42.8989254987</v>
      </c>
      <c r="F39" s="62">
        <v>0.0</v>
      </c>
      <c r="G39" s="71">
        <v>0.0</v>
      </c>
      <c r="H39" s="71">
        <v>0.0</v>
      </c>
      <c r="I39" s="64" t="s">
        <v>1092</v>
      </c>
      <c r="J39" s="62">
        <v>12000.0</v>
      </c>
      <c r="K39" s="62">
        <v>10000.0</v>
      </c>
      <c r="L39" s="62">
        <v>5000.0</v>
      </c>
      <c r="M39" s="62">
        <v>4000.0</v>
      </c>
      <c r="N39" s="62">
        <v>0.0</v>
      </c>
      <c r="O39" s="62">
        <v>0.0</v>
      </c>
      <c r="P39" s="62">
        <v>0.0</v>
      </c>
      <c r="Q39" s="62">
        <v>0.0</v>
      </c>
      <c r="R39" s="62">
        <v>0.0</v>
      </c>
      <c r="S39" s="62">
        <v>25000.0</v>
      </c>
      <c r="T39" s="62">
        <v>12000.0</v>
      </c>
      <c r="U39" s="62">
        <v>20000.0</v>
      </c>
      <c r="V39" s="62">
        <v>8000.0</v>
      </c>
      <c r="W39" s="62">
        <v>0.0</v>
      </c>
      <c r="X39" s="62">
        <v>0.0</v>
      </c>
      <c r="Y39" s="62">
        <v>0.0</v>
      </c>
      <c r="Z39" s="62">
        <v>0.0</v>
      </c>
      <c r="AA39" s="62">
        <v>0.0</v>
      </c>
      <c r="AB39" s="62">
        <v>12000.0</v>
      </c>
      <c r="AC39" s="62">
        <v>0.0</v>
      </c>
      <c r="AD39" s="62">
        <v>0.0</v>
      </c>
    </row>
    <row r="40" ht="22.5" customHeight="1">
      <c r="A40" s="62" t="s">
        <v>246</v>
      </c>
      <c r="B40" s="62" t="s">
        <v>1090</v>
      </c>
      <c r="C40" s="62" t="s">
        <v>1091</v>
      </c>
      <c r="D40" s="62">
        <v>2021.0</v>
      </c>
      <c r="E40" s="63">
        <v>22.9580921452</v>
      </c>
      <c r="F40" s="62">
        <v>0.0</v>
      </c>
      <c r="G40" s="71">
        <v>0.0</v>
      </c>
      <c r="H40" s="71">
        <v>0.0</v>
      </c>
      <c r="I40" s="64" t="s">
        <v>1092</v>
      </c>
      <c r="J40" s="62">
        <v>6000.0</v>
      </c>
      <c r="K40" s="62">
        <v>8000.0</v>
      </c>
      <c r="L40" s="62">
        <v>7000.0</v>
      </c>
      <c r="M40" s="62">
        <v>3000.0</v>
      </c>
      <c r="N40" s="62">
        <v>0.0</v>
      </c>
      <c r="O40" s="62">
        <v>0.0</v>
      </c>
      <c r="P40" s="62">
        <v>0.0</v>
      </c>
      <c r="Q40" s="62">
        <v>12000.0</v>
      </c>
      <c r="R40" s="62">
        <v>0.0</v>
      </c>
      <c r="S40" s="62">
        <v>12000.0</v>
      </c>
      <c r="T40" s="62">
        <v>10000.0</v>
      </c>
      <c r="U40" s="62">
        <v>8000.0</v>
      </c>
      <c r="V40" s="62">
        <v>6000.0</v>
      </c>
      <c r="W40" s="62">
        <v>0.0</v>
      </c>
      <c r="X40" s="62">
        <v>2000.0</v>
      </c>
      <c r="Y40" s="62">
        <v>4000.0</v>
      </c>
      <c r="Z40" s="62">
        <v>4000.0</v>
      </c>
      <c r="AA40" s="62">
        <v>4000.0</v>
      </c>
      <c r="AB40" s="62">
        <v>4000.0</v>
      </c>
      <c r="AC40" s="62">
        <v>0.0</v>
      </c>
      <c r="AD40" s="62">
        <v>0.0</v>
      </c>
    </row>
    <row r="41" ht="22.5" customHeight="1">
      <c r="A41" s="62" t="s">
        <v>246</v>
      </c>
      <c r="B41" s="62" t="s">
        <v>1164</v>
      </c>
      <c r="C41" s="62" t="s">
        <v>1165</v>
      </c>
      <c r="D41" s="62" t="s">
        <v>1163</v>
      </c>
      <c r="E41" s="63">
        <v>15.4976133198</v>
      </c>
      <c r="F41" s="62">
        <v>0.0</v>
      </c>
      <c r="G41" s="71">
        <v>0.0</v>
      </c>
      <c r="H41" s="71">
        <v>0.0</v>
      </c>
      <c r="I41" s="64" t="s">
        <v>1092</v>
      </c>
      <c r="J41" s="62">
        <v>6000.0</v>
      </c>
      <c r="K41" s="62">
        <v>8000.0</v>
      </c>
      <c r="L41" s="62">
        <v>7000.0</v>
      </c>
      <c r="M41" s="62">
        <v>3000.0</v>
      </c>
      <c r="N41" s="62">
        <v>0.0</v>
      </c>
      <c r="O41" s="62">
        <v>0.0</v>
      </c>
      <c r="P41" s="62">
        <v>0.0</v>
      </c>
      <c r="Q41" s="62">
        <v>0.0</v>
      </c>
      <c r="R41" s="62">
        <v>0.0</v>
      </c>
      <c r="S41" s="62">
        <v>10000.0</v>
      </c>
      <c r="T41" s="62">
        <v>2000.0</v>
      </c>
      <c r="U41" s="62">
        <v>0.0</v>
      </c>
      <c r="V41" s="62">
        <v>0.0</v>
      </c>
      <c r="W41" s="62">
        <v>0.0</v>
      </c>
      <c r="X41" s="62">
        <v>0.0</v>
      </c>
      <c r="Y41" s="62">
        <v>0.0</v>
      </c>
      <c r="Z41" s="62">
        <v>0.0</v>
      </c>
      <c r="AA41" s="62">
        <v>0.0</v>
      </c>
      <c r="AB41" s="62">
        <v>0.0</v>
      </c>
      <c r="AC41" s="62">
        <v>0.0</v>
      </c>
      <c r="AD41" s="62">
        <v>0.0</v>
      </c>
    </row>
    <row r="42" ht="22.5" customHeight="1">
      <c r="A42" s="62" t="s">
        <v>246</v>
      </c>
      <c r="B42" s="62" t="s">
        <v>1144</v>
      </c>
      <c r="C42" s="62" t="s">
        <v>1145</v>
      </c>
      <c r="D42" s="62">
        <v>2026.0</v>
      </c>
      <c r="E42" s="63">
        <v>35.3952011094</v>
      </c>
      <c r="F42" s="62">
        <v>0.0</v>
      </c>
      <c r="G42" s="71">
        <v>0.0</v>
      </c>
      <c r="H42" s="71">
        <v>0.0</v>
      </c>
      <c r="I42" s="64" t="s">
        <v>1092</v>
      </c>
      <c r="J42" s="62">
        <v>12000.0</v>
      </c>
      <c r="K42" s="62">
        <v>10000.0</v>
      </c>
      <c r="L42" s="62">
        <v>5000.0</v>
      </c>
      <c r="M42" s="62">
        <v>4000.0</v>
      </c>
      <c r="N42" s="62">
        <v>0.0</v>
      </c>
      <c r="O42" s="62">
        <v>0.0</v>
      </c>
      <c r="P42" s="62">
        <v>0.0</v>
      </c>
      <c r="Q42" s="62">
        <v>0.0</v>
      </c>
      <c r="R42" s="62">
        <v>0.0</v>
      </c>
      <c r="S42" s="62">
        <v>0.0</v>
      </c>
      <c r="T42" s="62">
        <v>0.0</v>
      </c>
      <c r="U42" s="62">
        <v>7000.0</v>
      </c>
      <c r="V42" s="62">
        <v>8000.0</v>
      </c>
      <c r="W42" s="62">
        <v>5000.0</v>
      </c>
      <c r="X42" s="62">
        <v>0.0</v>
      </c>
      <c r="Y42" s="62">
        <v>0.0</v>
      </c>
      <c r="Z42" s="62">
        <v>0.0</v>
      </c>
      <c r="AA42" s="62">
        <v>0.0</v>
      </c>
      <c r="AB42" s="62">
        <v>0.0</v>
      </c>
      <c r="AC42" s="62">
        <v>0.0</v>
      </c>
      <c r="AD42" s="62">
        <v>0.0</v>
      </c>
    </row>
    <row r="43" ht="22.5" customHeight="1">
      <c r="A43" s="62" t="s">
        <v>246</v>
      </c>
      <c r="B43" s="62" t="s">
        <v>1097</v>
      </c>
      <c r="C43" s="62" t="s">
        <v>1098</v>
      </c>
      <c r="D43" s="62">
        <v>2022.0</v>
      </c>
      <c r="E43" s="63">
        <v>17.0329955136</v>
      </c>
      <c r="F43" s="62">
        <v>0.0</v>
      </c>
      <c r="G43" s="71">
        <v>0.0</v>
      </c>
      <c r="H43" s="71">
        <v>9000.0</v>
      </c>
      <c r="I43" s="64" t="s">
        <v>1092</v>
      </c>
      <c r="J43" s="62">
        <v>9000.0</v>
      </c>
      <c r="K43" s="62">
        <v>5000.0</v>
      </c>
      <c r="L43" s="62">
        <v>0.0</v>
      </c>
      <c r="M43" s="62">
        <v>0.0</v>
      </c>
      <c r="N43" s="62">
        <v>0.0</v>
      </c>
      <c r="O43" s="62">
        <v>0.0</v>
      </c>
      <c r="P43" s="62">
        <v>5000.0</v>
      </c>
      <c r="Q43" s="62">
        <v>2000.0</v>
      </c>
      <c r="R43" s="62">
        <v>12000.0</v>
      </c>
      <c r="S43" s="62">
        <v>17300.0</v>
      </c>
      <c r="T43" s="62">
        <v>4000.0</v>
      </c>
      <c r="U43" s="62">
        <v>5000.0</v>
      </c>
      <c r="V43" s="62">
        <v>0.0</v>
      </c>
      <c r="W43" s="62">
        <v>0.0</v>
      </c>
      <c r="X43" s="62">
        <v>0.0</v>
      </c>
      <c r="Y43" s="62">
        <v>0.0</v>
      </c>
      <c r="Z43" s="62">
        <v>7500.0</v>
      </c>
      <c r="AA43" s="62">
        <v>8000.0</v>
      </c>
      <c r="AB43" s="62">
        <v>8000.0</v>
      </c>
      <c r="AC43" s="62">
        <v>0.0</v>
      </c>
      <c r="AD43" s="62">
        <v>0.0</v>
      </c>
    </row>
    <row r="44" ht="22.5" customHeight="1">
      <c r="A44" s="62" t="s">
        <v>116</v>
      </c>
      <c r="B44" s="62" t="s">
        <v>1192</v>
      </c>
      <c r="C44" s="62" t="s">
        <v>1193</v>
      </c>
      <c r="D44" s="62" t="s">
        <v>1163</v>
      </c>
      <c r="E44" s="63">
        <v>5.94360357263</v>
      </c>
      <c r="F44" s="62">
        <v>0.0</v>
      </c>
      <c r="G44" s="71">
        <v>4000.0</v>
      </c>
      <c r="H44" s="71">
        <v>6000.0</v>
      </c>
      <c r="I44" s="64" t="s">
        <v>1092</v>
      </c>
      <c r="J44" s="62">
        <v>6000.0</v>
      </c>
      <c r="K44" s="62">
        <v>2000.0</v>
      </c>
      <c r="L44" s="62">
        <v>0.0</v>
      </c>
      <c r="M44" s="62">
        <v>0.0</v>
      </c>
      <c r="N44" s="62">
        <v>0.0</v>
      </c>
      <c r="O44" s="62">
        <v>0.0</v>
      </c>
      <c r="P44" s="62">
        <v>0.0</v>
      </c>
      <c r="Q44" s="62">
        <v>0.0</v>
      </c>
      <c r="R44" s="62">
        <v>3500.0</v>
      </c>
      <c r="S44" s="62">
        <v>1500.0</v>
      </c>
      <c r="T44" s="62">
        <v>3000.0</v>
      </c>
      <c r="U44" s="62">
        <v>4500.0</v>
      </c>
      <c r="V44" s="62">
        <v>4000.0</v>
      </c>
      <c r="W44" s="62">
        <v>2500.0</v>
      </c>
      <c r="X44" s="62">
        <v>0.0</v>
      </c>
      <c r="Y44" s="62">
        <v>0.0</v>
      </c>
      <c r="Z44" s="62">
        <v>0.0</v>
      </c>
      <c r="AA44" s="62">
        <v>0.0</v>
      </c>
      <c r="AB44" s="62">
        <v>0.0</v>
      </c>
      <c r="AC44" s="62">
        <v>0.0</v>
      </c>
      <c r="AD44" s="62">
        <v>0.0</v>
      </c>
    </row>
    <row r="45" ht="22.5" customHeight="1">
      <c r="A45" s="62" t="s">
        <v>116</v>
      </c>
      <c r="B45" s="62" t="s">
        <v>1188</v>
      </c>
      <c r="C45" s="62" t="s">
        <v>1189</v>
      </c>
      <c r="D45" s="62" t="s">
        <v>1163</v>
      </c>
      <c r="E45" s="63">
        <v>14.2735043351</v>
      </c>
      <c r="F45" s="62">
        <v>0.0</v>
      </c>
      <c r="G45" s="71">
        <v>4000.0</v>
      </c>
      <c r="H45" s="71">
        <v>6000.0</v>
      </c>
      <c r="I45" s="64" t="s">
        <v>1092</v>
      </c>
      <c r="J45" s="62">
        <v>6000.0</v>
      </c>
      <c r="K45" s="62">
        <v>2000.0</v>
      </c>
      <c r="L45" s="62">
        <v>0.0</v>
      </c>
      <c r="M45" s="62">
        <v>0.0</v>
      </c>
      <c r="N45" s="62">
        <v>0.0</v>
      </c>
      <c r="O45" s="62">
        <v>0.0</v>
      </c>
      <c r="P45" s="62">
        <v>0.0</v>
      </c>
      <c r="Q45" s="62">
        <v>1000.0</v>
      </c>
      <c r="R45" s="62">
        <v>3500.0</v>
      </c>
      <c r="S45" s="62">
        <v>8000.0</v>
      </c>
      <c r="T45" s="62">
        <v>3000.0</v>
      </c>
      <c r="U45" s="62">
        <v>2000.0</v>
      </c>
      <c r="V45" s="62">
        <v>0.0</v>
      </c>
      <c r="W45" s="62">
        <v>2500.0</v>
      </c>
      <c r="X45" s="62">
        <v>0.0</v>
      </c>
      <c r="Y45" s="62">
        <v>0.0</v>
      </c>
      <c r="Z45" s="62">
        <v>0.0</v>
      </c>
      <c r="AA45" s="62">
        <v>0.0</v>
      </c>
      <c r="AB45" s="62">
        <v>0.0</v>
      </c>
      <c r="AC45" s="62">
        <v>0.0</v>
      </c>
      <c r="AD45" s="62">
        <v>0.0</v>
      </c>
    </row>
    <row r="46" ht="22.5" customHeight="1">
      <c r="A46" s="62" t="s">
        <v>116</v>
      </c>
      <c r="B46" s="62" t="s">
        <v>1194</v>
      </c>
      <c r="C46" s="62" t="s">
        <v>1195</v>
      </c>
      <c r="D46" s="62" t="s">
        <v>1163</v>
      </c>
      <c r="E46" s="63">
        <v>3.03126572495</v>
      </c>
      <c r="F46" s="62">
        <v>0.0</v>
      </c>
      <c r="G46" s="71">
        <v>4000.0</v>
      </c>
      <c r="H46" s="71">
        <v>6000.0</v>
      </c>
      <c r="I46" s="64" t="s">
        <v>1092</v>
      </c>
      <c r="J46" s="62">
        <v>6000.0</v>
      </c>
      <c r="K46" s="62">
        <v>2000.0</v>
      </c>
      <c r="L46" s="62">
        <v>0.0</v>
      </c>
      <c r="M46" s="62">
        <v>0.0</v>
      </c>
      <c r="N46" s="62">
        <v>0.0</v>
      </c>
      <c r="O46" s="62">
        <v>0.0</v>
      </c>
      <c r="P46" s="62">
        <v>0.0</v>
      </c>
      <c r="Q46" s="62">
        <v>1000.0</v>
      </c>
      <c r="R46" s="62">
        <v>0.0</v>
      </c>
      <c r="S46" s="62">
        <v>1000.0</v>
      </c>
      <c r="T46" s="62">
        <v>0.0</v>
      </c>
      <c r="U46" s="62">
        <v>0.0</v>
      </c>
      <c r="V46" s="62">
        <v>0.0</v>
      </c>
      <c r="W46" s="62">
        <v>0.0</v>
      </c>
      <c r="X46" s="62">
        <v>0.0</v>
      </c>
      <c r="Y46" s="62">
        <v>0.0</v>
      </c>
      <c r="Z46" s="62">
        <v>0.0</v>
      </c>
      <c r="AA46" s="62">
        <v>0.0</v>
      </c>
      <c r="AB46" s="62">
        <v>0.0</v>
      </c>
      <c r="AC46" s="62">
        <v>0.0</v>
      </c>
      <c r="AD46" s="62">
        <v>0.0</v>
      </c>
    </row>
    <row r="47" ht="22.5" customHeight="1">
      <c r="A47" s="62" t="s">
        <v>234</v>
      </c>
      <c r="B47" s="62" t="s">
        <v>1176</v>
      </c>
      <c r="C47" s="62" t="s">
        <v>1177</v>
      </c>
      <c r="D47" s="62" t="s">
        <v>1163</v>
      </c>
      <c r="E47" s="63">
        <v>7.61309912288</v>
      </c>
      <c r="F47" s="62">
        <v>0.0</v>
      </c>
      <c r="G47" s="71">
        <v>3000.0</v>
      </c>
      <c r="H47" s="71">
        <v>3000.0</v>
      </c>
      <c r="I47" s="64" t="s">
        <v>1092</v>
      </c>
      <c r="J47" s="62">
        <v>1000.0</v>
      </c>
      <c r="K47" s="62">
        <v>0.0</v>
      </c>
      <c r="L47" s="62">
        <v>0.0</v>
      </c>
      <c r="M47" s="62">
        <v>0.0</v>
      </c>
      <c r="N47" s="62">
        <v>0.0</v>
      </c>
      <c r="O47" s="62">
        <v>1500.0</v>
      </c>
      <c r="P47" s="62">
        <v>2500.0</v>
      </c>
      <c r="Q47" s="62">
        <v>5000.0</v>
      </c>
      <c r="R47" s="62">
        <v>0.0</v>
      </c>
      <c r="S47" s="62">
        <v>4000.0</v>
      </c>
      <c r="T47" s="62">
        <v>1000.0</v>
      </c>
      <c r="U47" s="62">
        <v>1500.0</v>
      </c>
      <c r="V47" s="62">
        <v>1500.0</v>
      </c>
      <c r="W47" s="62">
        <v>0.0</v>
      </c>
      <c r="X47" s="62">
        <v>0.0</v>
      </c>
      <c r="Y47" s="62">
        <v>0.0</v>
      </c>
      <c r="Z47" s="62">
        <v>0.0</v>
      </c>
      <c r="AA47" s="62">
        <v>0.0</v>
      </c>
      <c r="AB47" s="62">
        <v>0.0</v>
      </c>
      <c r="AC47" s="62">
        <v>0.0</v>
      </c>
      <c r="AD47" s="62">
        <v>0.0</v>
      </c>
    </row>
    <row r="48" ht="22.5" customHeight="1">
      <c r="A48" s="62" t="s">
        <v>234</v>
      </c>
      <c r="B48" s="62" t="s">
        <v>1178</v>
      </c>
      <c r="C48" s="62" t="s">
        <v>1179</v>
      </c>
      <c r="D48" s="62" t="s">
        <v>1163</v>
      </c>
      <c r="E48" s="63">
        <v>1.22864749961</v>
      </c>
      <c r="F48" s="62">
        <v>0.0</v>
      </c>
      <c r="G48" s="71">
        <v>3000.0</v>
      </c>
      <c r="H48" s="71">
        <v>3000.0</v>
      </c>
      <c r="I48" s="64" t="s">
        <v>1092</v>
      </c>
      <c r="J48" s="62">
        <v>1000.0</v>
      </c>
      <c r="K48" s="62">
        <v>0.0</v>
      </c>
      <c r="L48" s="62">
        <v>0.0</v>
      </c>
      <c r="M48" s="62">
        <v>0.0</v>
      </c>
      <c r="N48" s="62">
        <v>0.0</v>
      </c>
      <c r="O48" s="62">
        <v>1500.0</v>
      </c>
      <c r="P48" s="62">
        <v>2500.0</v>
      </c>
      <c r="Q48" s="62">
        <v>5000.0</v>
      </c>
      <c r="R48" s="62">
        <v>0.0</v>
      </c>
      <c r="S48" s="62">
        <v>1000.0</v>
      </c>
      <c r="T48" s="62">
        <v>1000.0</v>
      </c>
      <c r="U48" s="62">
        <v>200.0</v>
      </c>
      <c r="V48" s="62">
        <v>200.0</v>
      </c>
      <c r="W48" s="62">
        <v>0.0</v>
      </c>
      <c r="X48" s="62">
        <v>0.0</v>
      </c>
      <c r="Y48" s="62">
        <v>0.0</v>
      </c>
      <c r="Z48" s="62">
        <v>0.0</v>
      </c>
      <c r="AA48" s="62">
        <v>0.0</v>
      </c>
      <c r="AB48" s="62">
        <v>0.0</v>
      </c>
      <c r="AC48" s="62">
        <v>0.0</v>
      </c>
      <c r="AD48" s="62">
        <v>0.0</v>
      </c>
    </row>
    <row r="49" ht="22.5" customHeight="1">
      <c r="A49" s="62" t="s">
        <v>234</v>
      </c>
      <c r="B49" s="62" t="s">
        <v>1180</v>
      </c>
      <c r="C49" s="62" t="s">
        <v>1181</v>
      </c>
      <c r="D49" s="62" t="s">
        <v>1163</v>
      </c>
      <c r="E49" s="63">
        <v>0.793302735532</v>
      </c>
      <c r="F49" s="62">
        <v>0.0</v>
      </c>
      <c r="G49" s="71">
        <v>3000.0</v>
      </c>
      <c r="H49" s="71">
        <v>3000.0</v>
      </c>
      <c r="I49" s="64" t="s">
        <v>1092</v>
      </c>
      <c r="J49" s="62">
        <v>1000.0</v>
      </c>
      <c r="K49" s="62">
        <v>0.0</v>
      </c>
      <c r="L49" s="62">
        <v>0.0</v>
      </c>
      <c r="M49" s="62">
        <v>0.0</v>
      </c>
      <c r="N49" s="62">
        <v>0.0</v>
      </c>
      <c r="O49" s="62">
        <v>1500.0</v>
      </c>
      <c r="P49" s="62">
        <v>2500.0</v>
      </c>
      <c r="Q49" s="62">
        <v>5000.0</v>
      </c>
      <c r="R49" s="62">
        <v>0.0</v>
      </c>
      <c r="S49" s="62">
        <v>1000.0</v>
      </c>
      <c r="T49" s="62">
        <v>1000.0</v>
      </c>
      <c r="U49" s="62">
        <v>500.0</v>
      </c>
      <c r="V49" s="62">
        <v>500.0</v>
      </c>
      <c r="W49" s="62">
        <v>0.0</v>
      </c>
      <c r="X49" s="62">
        <v>0.0</v>
      </c>
      <c r="Y49" s="62">
        <v>0.0</v>
      </c>
      <c r="Z49" s="62">
        <v>0.0</v>
      </c>
      <c r="AA49" s="62">
        <v>15000.0</v>
      </c>
      <c r="AB49" s="62">
        <v>0.0</v>
      </c>
      <c r="AC49" s="62">
        <v>0.0</v>
      </c>
      <c r="AD49" s="62">
        <v>0.0</v>
      </c>
    </row>
    <row r="50" ht="22.5" customHeight="1">
      <c r="A50" s="62" t="s">
        <v>234</v>
      </c>
      <c r="B50" s="62" t="s">
        <v>1182</v>
      </c>
      <c r="C50" s="62" t="s">
        <v>1183</v>
      </c>
      <c r="D50" s="62" t="s">
        <v>1163</v>
      </c>
      <c r="E50" s="63">
        <v>8.17206825874</v>
      </c>
      <c r="F50" s="62">
        <v>0.0</v>
      </c>
      <c r="G50" s="71">
        <v>3000.0</v>
      </c>
      <c r="H50" s="71">
        <v>3000.0</v>
      </c>
      <c r="I50" s="64" t="s">
        <v>1092</v>
      </c>
      <c r="J50" s="62">
        <v>1000.0</v>
      </c>
      <c r="K50" s="62">
        <v>0.0</v>
      </c>
      <c r="L50" s="62">
        <v>0.0</v>
      </c>
      <c r="M50" s="62">
        <v>0.0</v>
      </c>
      <c r="N50" s="62">
        <v>0.0</v>
      </c>
      <c r="O50" s="62">
        <v>1500.0</v>
      </c>
      <c r="P50" s="62">
        <v>2500.0</v>
      </c>
      <c r="Q50" s="62">
        <v>5000.0</v>
      </c>
      <c r="R50" s="62">
        <v>0.0</v>
      </c>
      <c r="S50" s="62">
        <v>4000.0</v>
      </c>
      <c r="T50" s="62">
        <v>1000.0</v>
      </c>
      <c r="U50" s="62">
        <v>1000.0</v>
      </c>
      <c r="V50" s="62">
        <v>1000.0</v>
      </c>
      <c r="W50" s="62">
        <v>0.0</v>
      </c>
      <c r="X50" s="62">
        <v>0.0</v>
      </c>
      <c r="Y50" s="62">
        <v>0.0</v>
      </c>
      <c r="Z50" s="62">
        <v>0.0</v>
      </c>
      <c r="AA50" s="62">
        <v>0.0</v>
      </c>
      <c r="AB50" s="62">
        <v>0.0</v>
      </c>
      <c r="AC50" s="62">
        <v>0.0</v>
      </c>
      <c r="AD50" s="62">
        <v>0.0</v>
      </c>
    </row>
    <row r="51" ht="22.5" customHeight="1">
      <c r="A51" s="62" t="s">
        <v>234</v>
      </c>
      <c r="B51" s="62" t="s">
        <v>1184</v>
      </c>
      <c r="C51" s="62" t="s">
        <v>1185</v>
      </c>
      <c r="D51" s="62" t="s">
        <v>1163</v>
      </c>
      <c r="E51" s="63">
        <v>3.28589956444</v>
      </c>
      <c r="F51" s="62">
        <v>0.0</v>
      </c>
      <c r="G51" s="71">
        <v>3000.0</v>
      </c>
      <c r="H51" s="71">
        <v>3000.0</v>
      </c>
      <c r="I51" s="64" t="s">
        <v>1092</v>
      </c>
      <c r="J51" s="62">
        <v>1000.0</v>
      </c>
      <c r="K51" s="62">
        <v>0.0</v>
      </c>
      <c r="L51" s="62">
        <v>0.0</v>
      </c>
      <c r="M51" s="62">
        <v>0.0</v>
      </c>
      <c r="N51" s="62">
        <v>0.0</v>
      </c>
      <c r="O51" s="62">
        <v>1500.0</v>
      </c>
      <c r="P51" s="62">
        <v>2500.0</v>
      </c>
      <c r="Q51" s="62">
        <v>5000.0</v>
      </c>
      <c r="R51" s="62">
        <v>0.0</v>
      </c>
      <c r="S51" s="62">
        <v>1000.0</v>
      </c>
      <c r="T51" s="62">
        <v>1000.0</v>
      </c>
      <c r="U51" s="62">
        <v>2000.0</v>
      </c>
      <c r="V51" s="62">
        <v>2000.0</v>
      </c>
      <c r="W51" s="62">
        <v>0.0</v>
      </c>
      <c r="X51" s="62">
        <v>0.0</v>
      </c>
      <c r="Y51" s="62">
        <v>0.0</v>
      </c>
      <c r="Z51" s="62">
        <v>0.0</v>
      </c>
      <c r="AA51" s="62">
        <v>0.0</v>
      </c>
      <c r="AB51" s="62">
        <v>0.0</v>
      </c>
      <c r="AC51" s="62">
        <v>0.0</v>
      </c>
      <c r="AD51" s="62">
        <v>0.0</v>
      </c>
    </row>
    <row r="52" ht="22.5" customHeight="1">
      <c r="A52" s="62" t="s">
        <v>234</v>
      </c>
      <c r="B52" s="62" t="s">
        <v>1186</v>
      </c>
      <c r="C52" s="62" t="s">
        <v>1187</v>
      </c>
      <c r="D52" s="62" t="s">
        <v>1163</v>
      </c>
      <c r="E52" s="63">
        <v>4.25885600318</v>
      </c>
      <c r="F52" s="62">
        <v>0.0</v>
      </c>
      <c r="G52" s="71">
        <v>3000.0</v>
      </c>
      <c r="H52" s="71">
        <v>3000.0</v>
      </c>
      <c r="I52" s="64" t="s">
        <v>1092</v>
      </c>
      <c r="J52" s="62">
        <v>1000.0</v>
      </c>
      <c r="K52" s="62">
        <v>0.0</v>
      </c>
      <c r="L52" s="62">
        <v>0.0</v>
      </c>
      <c r="M52" s="62">
        <v>0.0</v>
      </c>
      <c r="N52" s="62">
        <v>0.0</v>
      </c>
      <c r="O52" s="62">
        <v>1500.0</v>
      </c>
      <c r="P52" s="62">
        <v>2500.0</v>
      </c>
      <c r="Q52" s="62">
        <v>5000.0</v>
      </c>
      <c r="R52" s="62">
        <v>0.0</v>
      </c>
      <c r="S52" s="62">
        <v>1000.0</v>
      </c>
      <c r="T52" s="62">
        <v>1000.0</v>
      </c>
      <c r="U52" s="62">
        <v>0.0</v>
      </c>
      <c r="V52" s="62">
        <v>0.0</v>
      </c>
      <c r="W52" s="62">
        <v>0.0</v>
      </c>
      <c r="X52" s="62">
        <v>0.0</v>
      </c>
      <c r="Y52" s="62">
        <v>0.0</v>
      </c>
      <c r="Z52" s="62">
        <v>0.0</v>
      </c>
      <c r="AA52" s="62">
        <v>0.0</v>
      </c>
      <c r="AB52" s="62">
        <v>0.0</v>
      </c>
      <c r="AC52" s="62">
        <v>0.0</v>
      </c>
      <c r="AD52" s="62">
        <v>0.0</v>
      </c>
    </row>
    <row r="53" ht="22.5" customHeight="1">
      <c r="A53" s="62" t="s">
        <v>246</v>
      </c>
      <c r="B53" s="62" t="s">
        <v>1161</v>
      </c>
      <c r="C53" s="62" t="s">
        <v>1162</v>
      </c>
      <c r="D53" s="62" t="s">
        <v>1163</v>
      </c>
      <c r="E53" s="63">
        <v>15.9623321182</v>
      </c>
      <c r="F53" s="62">
        <v>0.0</v>
      </c>
      <c r="G53" s="71">
        <v>0.0</v>
      </c>
      <c r="H53" s="71">
        <v>0.0</v>
      </c>
      <c r="I53" s="64" t="s">
        <v>1092</v>
      </c>
      <c r="J53" s="62">
        <v>0.0</v>
      </c>
      <c r="K53" s="62">
        <v>0.0</v>
      </c>
      <c r="L53" s="62">
        <v>0.0</v>
      </c>
      <c r="M53" s="62">
        <v>5000.0</v>
      </c>
      <c r="N53" s="62">
        <v>0.0</v>
      </c>
      <c r="O53" s="62">
        <v>0.0</v>
      </c>
      <c r="P53" s="62">
        <v>0.0</v>
      </c>
      <c r="Q53" s="62">
        <v>0.0</v>
      </c>
      <c r="R53" s="62">
        <v>0.0</v>
      </c>
      <c r="S53" s="62">
        <v>1000.0</v>
      </c>
      <c r="T53" s="62">
        <v>2000.0</v>
      </c>
      <c r="U53" s="62">
        <v>2000.0</v>
      </c>
      <c r="V53" s="62">
        <v>0.0</v>
      </c>
      <c r="W53" s="62">
        <v>0.0</v>
      </c>
      <c r="X53" s="62">
        <v>0.0</v>
      </c>
      <c r="Y53" s="62">
        <v>0.0</v>
      </c>
      <c r="Z53" s="62">
        <v>0.0</v>
      </c>
      <c r="AA53" s="62">
        <v>0.0</v>
      </c>
      <c r="AB53" s="62">
        <v>0.0</v>
      </c>
      <c r="AC53" s="62">
        <v>0.0</v>
      </c>
      <c r="AD53" s="62">
        <v>0.0</v>
      </c>
    </row>
    <row r="54" ht="22.5" customHeight="1">
      <c r="A54" s="62" t="s">
        <v>246</v>
      </c>
      <c r="B54" s="62" t="s">
        <v>1137</v>
      </c>
      <c r="C54" s="62" t="s">
        <v>1138</v>
      </c>
      <c r="D54" s="62">
        <v>2026.0</v>
      </c>
      <c r="E54" s="63">
        <v>11.7990407647</v>
      </c>
      <c r="F54" s="62">
        <v>0.0</v>
      </c>
      <c r="G54" s="71">
        <v>0.0</v>
      </c>
      <c r="H54" s="71">
        <v>0.0</v>
      </c>
      <c r="I54" s="64" t="s">
        <v>1092</v>
      </c>
      <c r="J54" s="62">
        <v>0.0</v>
      </c>
      <c r="K54" s="62">
        <v>0.0</v>
      </c>
      <c r="L54" s="62">
        <v>0.0</v>
      </c>
      <c r="M54" s="62">
        <v>5000.0</v>
      </c>
      <c r="N54" s="62">
        <v>0.0</v>
      </c>
      <c r="O54" s="62">
        <v>0.0</v>
      </c>
      <c r="P54" s="62">
        <v>0.0</v>
      </c>
      <c r="Q54" s="62">
        <v>0.0</v>
      </c>
      <c r="R54" s="62">
        <v>0.0</v>
      </c>
      <c r="S54" s="62">
        <v>0.0</v>
      </c>
      <c r="T54" s="62">
        <v>0.0</v>
      </c>
      <c r="U54" s="62">
        <v>0.0</v>
      </c>
      <c r="V54" s="62">
        <v>3000.0</v>
      </c>
      <c r="W54" s="62">
        <v>5000.0</v>
      </c>
      <c r="X54" s="62">
        <v>6000.0</v>
      </c>
      <c r="Y54" s="62">
        <v>4000.0</v>
      </c>
      <c r="Z54" s="62">
        <v>0.0</v>
      </c>
      <c r="AA54" s="62">
        <v>0.0</v>
      </c>
      <c r="AB54" s="62">
        <v>0.0</v>
      </c>
      <c r="AC54" s="62">
        <v>0.0</v>
      </c>
      <c r="AD54" s="62">
        <v>0.0</v>
      </c>
    </row>
    <row r="55" ht="22.5" customHeight="1">
      <c r="A55" s="62" t="s">
        <v>246</v>
      </c>
      <c r="B55" s="62" t="s">
        <v>1166</v>
      </c>
      <c r="C55" s="62" t="s">
        <v>1167</v>
      </c>
      <c r="D55" s="62" t="s">
        <v>1163</v>
      </c>
      <c r="E55" s="63">
        <v>27.4170248389</v>
      </c>
      <c r="F55" s="62">
        <v>0.0</v>
      </c>
      <c r="G55" s="71">
        <v>0.0</v>
      </c>
      <c r="H55" s="71">
        <v>0.0</v>
      </c>
      <c r="I55" s="64" t="s">
        <v>1092</v>
      </c>
      <c r="J55" s="62">
        <v>0.0</v>
      </c>
      <c r="K55" s="62">
        <v>0.0</v>
      </c>
      <c r="L55" s="62">
        <v>0.0</v>
      </c>
      <c r="M55" s="62">
        <v>5000.0</v>
      </c>
      <c r="N55" s="62">
        <v>0.0</v>
      </c>
      <c r="O55" s="62">
        <v>0.0</v>
      </c>
      <c r="P55" s="62">
        <v>0.0</v>
      </c>
      <c r="Q55" s="62">
        <v>0.0</v>
      </c>
      <c r="R55" s="62">
        <v>0.0</v>
      </c>
      <c r="S55" s="62">
        <v>2000.0</v>
      </c>
      <c r="T55" s="62">
        <v>1000.0</v>
      </c>
      <c r="U55" s="62">
        <v>0.0</v>
      </c>
      <c r="V55" s="62">
        <v>0.0</v>
      </c>
      <c r="W55" s="62">
        <v>0.0</v>
      </c>
      <c r="X55" s="62">
        <v>0.0</v>
      </c>
      <c r="Y55" s="62">
        <v>0.0</v>
      </c>
      <c r="Z55" s="62">
        <v>0.0</v>
      </c>
      <c r="AA55" s="62">
        <v>0.0</v>
      </c>
      <c r="AB55" s="62">
        <v>0.0</v>
      </c>
      <c r="AC55" s="62">
        <v>0.0</v>
      </c>
      <c r="AD55" s="62">
        <v>0.0</v>
      </c>
    </row>
    <row r="56" ht="22.5" customHeight="1">
      <c r="A56" s="62" t="s">
        <v>246</v>
      </c>
      <c r="B56" s="62" t="s">
        <v>1111</v>
      </c>
      <c r="C56" s="62" t="s">
        <v>1112</v>
      </c>
      <c r="D56" s="62">
        <v>2023.0</v>
      </c>
      <c r="E56" s="63">
        <v>8.68807045352</v>
      </c>
      <c r="F56" s="62">
        <v>0.0</v>
      </c>
      <c r="G56" s="71">
        <v>0.0</v>
      </c>
      <c r="H56" s="71">
        <v>0.0</v>
      </c>
      <c r="I56" s="64" t="s">
        <v>1092</v>
      </c>
      <c r="J56" s="62">
        <v>0.0</v>
      </c>
      <c r="K56" s="62">
        <v>0.0</v>
      </c>
      <c r="L56" s="62">
        <v>0.0</v>
      </c>
      <c r="M56" s="62">
        <v>0.0</v>
      </c>
      <c r="N56" s="62">
        <v>0.0</v>
      </c>
      <c r="O56" s="62">
        <v>0.0</v>
      </c>
      <c r="P56" s="62">
        <v>0.0</v>
      </c>
      <c r="Q56" s="62">
        <v>0.0</v>
      </c>
      <c r="R56" s="62">
        <v>0.0</v>
      </c>
      <c r="S56" s="62">
        <v>0.0</v>
      </c>
      <c r="T56" s="62">
        <v>0.0</v>
      </c>
      <c r="U56" s="62">
        <v>0.0</v>
      </c>
      <c r="V56" s="62">
        <v>0.0</v>
      </c>
      <c r="W56" s="62">
        <v>0.0</v>
      </c>
      <c r="X56" s="62">
        <v>0.0</v>
      </c>
      <c r="Y56" s="62">
        <v>0.0</v>
      </c>
      <c r="Z56" s="62">
        <v>0.0</v>
      </c>
      <c r="AA56" s="62">
        <v>2000.0</v>
      </c>
      <c r="AB56" s="62">
        <v>3000.0</v>
      </c>
      <c r="AC56" s="62">
        <v>0.0</v>
      </c>
      <c r="AD56" s="62">
        <v>0.0</v>
      </c>
    </row>
    <row r="57" ht="22.5" customHeight="1">
      <c r="A57" s="65"/>
      <c r="B57" s="65"/>
      <c r="C57" s="65"/>
      <c r="D57" s="66">
        <f>SUM(Johan_Brand_Skatting_en_Werklik_2[GEPLANT])</f>
        <v>72868</v>
      </c>
      <c r="E57" s="67">
        <f>SUM(Johan_Brand_Skatting_en_Werklik_2[HEKTAAR])</f>
        <v>1049.350267</v>
      </c>
      <c r="F57" s="65"/>
      <c r="G57" s="68">
        <f>SUM(Johan_Brand_Skatting_en_Werklik_2[2005
OESSKAT])</f>
        <v>91000</v>
      </c>
      <c r="H57" s="68">
        <f>SUM(Johan_Brand_Skatting_en_Werklik_2[2006
OESSKAT])</f>
        <v>286500</v>
      </c>
      <c r="I57" s="68">
        <f>SUM(Johan_Brand_Skatting_en_Werklik_2[2007_OESSKAT])</f>
        <v>0</v>
      </c>
      <c r="J57" s="66">
        <f>SUM(Johan_Brand_Skatting_en_Werklik_2[2008_OESSKAT])</f>
        <v>310000</v>
      </c>
      <c r="K57" s="66">
        <f>SUM(Johan_Brand_Skatting_en_Werklik_2[2009_OESSKAT])</f>
        <v>189000</v>
      </c>
      <c r="L57" s="66">
        <f>SUM(Johan_Brand_Skatting_en_Werklik_2[2010_OESSKAT])</f>
        <v>132000</v>
      </c>
      <c r="M57" s="66">
        <f>SUM(Johan_Brand_Skatting_en_Werklik_2[2011_OESSKAT])</f>
        <v>236000</v>
      </c>
      <c r="N57" s="66">
        <f>SUM(Johan_Brand_Skatting_en_Werklik_2[2012_OESSKAT])</f>
        <v>172000</v>
      </c>
      <c r="O57" s="66">
        <f>SUM(Johan_Brand_Skatting_en_Werklik_2[2013_OESSKAT])</f>
        <v>142500</v>
      </c>
      <c r="P57" s="66">
        <f>SUM(Johan_Brand_Skatting_en_Werklik_2[2014_OESSKAT])</f>
        <v>163500</v>
      </c>
      <c r="Q57" s="66">
        <f>SUM(Johan_Brand_Skatting_en_Werklik_2[2015_OESSKAT])</f>
        <v>202000</v>
      </c>
      <c r="R57" s="66">
        <f>SUM(Johan_Brand_Skatting_en_Werklik_2[2016_OESSKAT])</f>
        <v>132500</v>
      </c>
      <c r="S57" s="66">
        <f>SUM(Johan_Brand_Skatting_en_Werklik_2[2017_OESSKAT])</f>
        <v>372800</v>
      </c>
      <c r="T57" s="66">
        <f>SUM(Johan_Brand_Skatting_en_Werklik_2[2018_OESSKAT])</f>
        <v>216003</v>
      </c>
      <c r="U57" s="66">
        <f>SUM(Johan_Brand_Skatting_en_Werklik_2[2019_OESSKAT])</f>
        <v>195200</v>
      </c>
      <c r="V57" s="66">
        <f>SUM(Johan_Brand_Skatting_en_Werklik_2[2020_OESSKAT])</f>
        <v>209200</v>
      </c>
      <c r="W57" s="66">
        <f>SUM(Johan_Brand_Skatting_en_Werklik_2[2021_OESSKAT])</f>
        <v>207000</v>
      </c>
      <c r="X57" s="66">
        <f>SUM(Johan_Brand_Skatting_en_Werklik_2[2022_OESSKAT])</f>
        <v>186000</v>
      </c>
      <c r="Y57" s="66">
        <f>SUM(Johan_Brand_Skatting_en_Werklik_2[2023_OESSKAT])</f>
        <v>120000</v>
      </c>
      <c r="Z57" s="66">
        <f>SUM(Johan_Brand_Skatting_en_Werklik_2[2024_OESSKAT])</f>
        <v>192000</v>
      </c>
      <c r="AA57" s="66">
        <f>SUM(Johan_Brand_Skatting_en_Werklik_2[2025_OESSKAT])</f>
        <v>231700</v>
      </c>
      <c r="AB57" s="66">
        <f>SUM(Johan_Brand_Skatting_en_Werklik_2[2026_OESSKAT])</f>
        <v>178000</v>
      </c>
      <c r="AC57" s="66">
        <f>SUM(Johan_Brand_Skatting_en_Werklik_2[2027_OESSKAT])</f>
        <v>93000</v>
      </c>
      <c r="AD57" s="66">
        <f>SUM(Johan_Brand_Skatting_en_Werklik_2[2028_OESSKAT])</f>
        <v>34000</v>
      </c>
    </row>
    <row r="58">
      <c r="A58" s="57"/>
      <c r="B58" s="57"/>
      <c r="C58" s="57"/>
      <c r="D58" s="57"/>
      <c r="E58" s="58"/>
      <c r="F58" s="57"/>
      <c r="G58" s="59"/>
      <c r="H58" s="59"/>
      <c r="I58" s="5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>
      <c r="A59" s="57"/>
      <c r="B59" s="57"/>
      <c r="C59" s="57"/>
      <c r="D59" s="57"/>
      <c r="E59" s="58"/>
      <c r="F59" s="57"/>
      <c r="G59" s="59"/>
      <c r="H59" s="59"/>
      <c r="I59" s="59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ht="22.5" customHeight="1">
      <c r="A60" s="60" t="s">
        <v>1063</v>
      </c>
      <c r="B60" s="60" t="s">
        <v>1064</v>
      </c>
      <c r="C60" s="60" t="s">
        <v>1065</v>
      </c>
      <c r="D60" s="60" t="s">
        <v>1066</v>
      </c>
      <c r="E60" s="61" t="s">
        <v>1067</v>
      </c>
      <c r="F60" s="60" t="s">
        <v>1196</v>
      </c>
      <c r="G60" s="70" t="s">
        <v>1197</v>
      </c>
      <c r="H60" s="70" t="s">
        <v>1198</v>
      </c>
      <c r="I60" s="70" t="s">
        <v>1199</v>
      </c>
      <c r="J60" s="60" t="s">
        <v>1200</v>
      </c>
      <c r="K60" s="60" t="s">
        <v>1201</v>
      </c>
      <c r="L60" s="60" t="s">
        <v>1202</v>
      </c>
      <c r="M60" s="60" t="s">
        <v>1203</v>
      </c>
      <c r="N60" s="60" t="s">
        <v>1204</v>
      </c>
      <c r="O60" s="60" t="s">
        <v>1205</v>
      </c>
      <c r="P60" s="60" t="s">
        <v>1206</v>
      </c>
      <c r="Q60" s="60" t="s">
        <v>1207</v>
      </c>
      <c r="R60" s="60" t="s">
        <v>1208</v>
      </c>
      <c r="S60" s="60" t="s">
        <v>1209</v>
      </c>
      <c r="T60" s="60" t="s">
        <v>1210</v>
      </c>
      <c r="U60" s="60" t="s">
        <v>1211</v>
      </c>
      <c r="V60" s="60" t="s">
        <v>1212</v>
      </c>
      <c r="W60" s="60" t="s">
        <v>1213</v>
      </c>
      <c r="X60" s="60" t="s">
        <v>1214</v>
      </c>
      <c r="Y60" s="60" t="s">
        <v>1215</v>
      </c>
      <c r="Z60" s="60" t="s">
        <v>1216</v>
      </c>
      <c r="AA60" s="60" t="s">
        <v>1217</v>
      </c>
      <c r="AB60" s="60" t="s">
        <v>1218</v>
      </c>
      <c r="AC60" s="60" t="s">
        <v>1219</v>
      </c>
      <c r="AD60" s="60" t="s">
        <v>1220</v>
      </c>
    </row>
    <row r="61" ht="22.5" customHeight="1">
      <c r="A61" s="62" t="s">
        <v>246</v>
      </c>
      <c r="B61" s="62" t="s">
        <v>1139</v>
      </c>
      <c r="C61" s="62" t="s">
        <v>1140</v>
      </c>
      <c r="D61" s="62">
        <v>2026.0</v>
      </c>
      <c r="E61" s="63">
        <v>18.110612985</v>
      </c>
      <c r="F61" s="62">
        <v>0.0</v>
      </c>
      <c r="G61" s="71">
        <v>0.0</v>
      </c>
      <c r="H61" s="71">
        <v>15000.0</v>
      </c>
      <c r="I61" s="64" t="s">
        <v>1092</v>
      </c>
      <c r="J61" s="62">
        <v>0.0</v>
      </c>
      <c r="K61" s="62">
        <v>0.0</v>
      </c>
      <c r="L61" s="62">
        <v>6000.0</v>
      </c>
      <c r="M61" s="62">
        <v>1000.0</v>
      </c>
      <c r="N61" s="62">
        <v>4000.0</v>
      </c>
      <c r="O61" s="62">
        <v>2000.0</v>
      </c>
      <c r="P61" s="62">
        <v>2000.0</v>
      </c>
      <c r="Q61" s="62">
        <v>2000.0</v>
      </c>
      <c r="R61" s="62">
        <v>4500.0</v>
      </c>
      <c r="S61" s="62">
        <v>34000.0</v>
      </c>
      <c r="T61" s="62">
        <v>9000.0</v>
      </c>
      <c r="U61" s="62">
        <v>10000.0</v>
      </c>
      <c r="V61" s="62">
        <v>0.0</v>
      </c>
      <c r="W61" s="62">
        <v>0.0</v>
      </c>
      <c r="X61" s="62">
        <v>15000.0</v>
      </c>
      <c r="Y61" s="62">
        <v>0.0</v>
      </c>
      <c r="Z61" s="62">
        <v>2000.0</v>
      </c>
      <c r="AA61" s="62">
        <v>0.0</v>
      </c>
      <c r="AB61" s="62">
        <v>0.0</v>
      </c>
      <c r="AC61" s="62">
        <v>2000.0</v>
      </c>
      <c r="AD61" s="62">
        <v>9000.0</v>
      </c>
    </row>
    <row r="62" ht="22.5" customHeight="1">
      <c r="A62" s="62" t="s">
        <v>246</v>
      </c>
      <c r="B62" s="62" t="s">
        <v>1095</v>
      </c>
      <c r="C62" s="62" t="s">
        <v>1096</v>
      </c>
      <c r="D62" s="62">
        <v>2022.0</v>
      </c>
      <c r="E62" s="63">
        <v>21.1987533783</v>
      </c>
      <c r="F62" s="62">
        <v>0.0</v>
      </c>
      <c r="G62" s="71">
        <v>0.0</v>
      </c>
      <c r="H62" s="71">
        <v>0.0</v>
      </c>
      <c r="I62" s="64" t="s">
        <v>1092</v>
      </c>
      <c r="J62" s="62">
        <v>0.0</v>
      </c>
      <c r="K62" s="62">
        <v>0.0</v>
      </c>
      <c r="L62" s="62">
        <v>0.0</v>
      </c>
      <c r="M62" s="62">
        <v>8000.0</v>
      </c>
      <c r="N62" s="62">
        <v>8000.0</v>
      </c>
      <c r="O62" s="62">
        <v>8000.0</v>
      </c>
      <c r="P62" s="62">
        <v>6000.0</v>
      </c>
      <c r="Q62" s="62">
        <v>0.0</v>
      </c>
      <c r="R62" s="62">
        <v>0.0</v>
      </c>
      <c r="S62" s="62">
        <v>16000.0</v>
      </c>
      <c r="T62" s="62">
        <v>16000.0</v>
      </c>
      <c r="U62" s="62">
        <v>12000.0</v>
      </c>
      <c r="V62" s="62">
        <v>5000.0</v>
      </c>
      <c r="W62" s="62">
        <v>0.0</v>
      </c>
      <c r="X62" s="62">
        <v>0.0</v>
      </c>
      <c r="Y62" s="62">
        <v>0.0</v>
      </c>
      <c r="Z62" s="62">
        <v>6000.0</v>
      </c>
      <c r="AA62" s="62">
        <v>4000.0</v>
      </c>
      <c r="AB62" s="62">
        <v>5000.0</v>
      </c>
      <c r="AC62" s="62">
        <v>0.0</v>
      </c>
      <c r="AD62" s="62">
        <v>0.0</v>
      </c>
    </row>
    <row r="63" ht="22.5" customHeight="1">
      <c r="A63" s="62" t="s">
        <v>246</v>
      </c>
      <c r="B63" s="62" t="s">
        <v>1141</v>
      </c>
      <c r="C63" s="62" t="s">
        <v>1142</v>
      </c>
      <c r="D63" s="62">
        <v>2026.0</v>
      </c>
      <c r="E63" s="63">
        <v>11.6095621633</v>
      </c>
      <c r="F63" s="62">
        <v>0.0</v>
      </c>
      <c r="G63" s="71">
        <v>0.0</v>
      </c>
      <c r="H63" s="71">
        <v>5000.0</v>
      </c>
      <c r="I63" s="64" t="s">
        <v>1092</v>
      </c>
      <c r="J63" s="62">
        <v>3000.0</v>
      </c>
      <c r="K63" s="62">
        <v>2000.0</v>
      </c>
      <c r="L63" s="62">
        <v>0.0</v>
      </c>
      <c r="M63" s="62">
        <v>0.0</v>
      </c>
      <c r="N63" s="62">
        <v>0.0</v>
      </c>
      <c r="O63" s="62">
        <v>1000.0</v>
      </c>
      <c r="P63" s="62">
        <v>0.0</v>
      </c>
      <c r="Q63" s="62">
        <v>0.0</v>
      </c>
      <c r="R63" s="62">
        <v>0.0</v>
      </c>
      <c r="S63" s="62">
        <v>3000.0</v>
      </c>
      <c r="T63" s="62">
        <v>3000.0</v>
      </c>
      <c r="U63" s="62">
        <v>2000.0</v>
      </c>
      <c r="V63" s="62">
        <v>2000.0</v>
      </c>
      <c r="W63" s="62">
        <v>0.0</v>
      </c>
      <c r="X63" s="62">
        <v>1000.0</v>
      </c>
      <c r="Y63" s="62">
        <v>3000.0</v>
      </c>
      <c r="Z63" s="62">
        <v>1000.0</v>
      </c>
      <c r="AA63" s="62">
        <v>4000.0</v>
      </c>
      <c r="AB63" s="62">
        <v>0.0</v>
      </c>
      <c r="AC63" s="62">
        <v>1000.0</v>
      </c>
      <c r="AD63" s="62">
        <v>5000.0</v>
      </c>
    </row>
    <row r="64" ht="22.5" customHeight="1">
      <c r="A64" s="62" t="s">
        <v>95</v>
      </c>
      <c r="B64" s="62" t="s">
        <v>1146</v>
      </c>
      <c r="C64" s="62" t="s">
        <v>1147</v>
      </c>
      <c r="D64" s="62">
        <v>2026.0</v>
      </c>
      <c r="E64" s="63">
        <v>29.4711171643</v>
      </c>
      <c r="F64" s="62">
        <v>0.0</v>
      </c>
      <c r="G64" s="71">
        <v>0.0</v>
      </c>
      <c r="H64" s="71">
        <v>25000.0</v>
      </c>
      <c r="I64" s="64" t="s">
        <v>1092</v>
      </c>
      <c r="J64" s="62">
        <v>25000.0</v>
      </c>
      <c r="K64" s="62">
        <v>10000.0</v>
      </c>
      <c r="L64" s="62">
        <v>0.0</v>
      </c>
      <c r="M64" s="62">
        <v>18000.0</v>
      </c>
      <c r="N64" s="62">
        <v>18000.0</v>
      </c>
      <c r="O64" s="62">
        <v>12000.0</v>
      </c>
      <c r="P64" s="62">
        <v>0.0</v>
      </c>
      <c r="Q64" s="62">
        <v>3000.0</v>
      </c>
      <c r="R64" s="62">
        <v>12000.0</v>
      </c>
      <c r="S64" s="62">
        <v>30000.0</v>
      </c>
      <c r="T64" s="62">
        <v>8000.0</v>
      </c>
      <c r="U64" s="62">
        <v>0.0</v>
      </c>
      <c r="V64" s="62">
        <v>0.0</v>
      </c>
      <c r="W64" s="62">
        <v>3000.0</v>
      </c>
      <c r="X64" s="62">
        <v>3000.0</v>
      </c>
      <c r="Y64" s="62">
        <v>9000.0</v>
      </c>
      <c r="Z64" s="62">
        <v>15000.0</v>
      </c>
      <c r="AA64" s="62">
        <v>15000.0</v>
      </c>
      <c r="AB64" s="62">
        <v>0.0</v>
      </c>
      <c r="AC64" s="62">
        <v>0.0</v>
      </c>
      <c r="AD64" s="62">
        <v>0.0</v>
      </c>
    </row>
    <row r="65" ht="22.5" customHeight="1">
      <c r="A65" s="62" t="s">
        <v>95</v>
      </c>
      <c r="B65" s="62" t="s">
        <v>1099</v>
      </c>
      <c r="C65" s="62" t="s">
        <v>1100</v>
      </c>
      <c r="D65" s="62">
        <v>2022.0</v>
      </c>
      <c r="E65" s="63">
        <v>41.9793488172</v>
      </c>
      <c r="F65" s="62">
        <v>24000.0</v>
      </c>
      <c r="G65" s="71">
        <v>15000.0</v>
      </c>
      <c r="H65" s="71">
        <v>15000.0</v>
      </c>
      <c r="I65" s="64" t="s">
        <v>1092</v>
      </c>
      <c r="J65" s="62">
        <v>15000.0</v>
      </c>
      <c r="K65" s="62">
        <v>25000.0</v>
      </c>
      <c r="L65" s="62">
        <v>20000.0</v>
      </c>
      <c r="M65" s="62">
        <v>10000.0</v>
      </c>
      <c r="N65" s="62">
        <v>5000.0</v>
      </c>
      <c r="O65" s="62">
        <v>0.0</v>
      </c>
      <c r="P65" s="62">
        <v>0.0</v>
      </c>
      <c r="Q65" s="62">
        <v>30000.0</v>
      </c>
      <c r="R65" s="62">
        <v>15000.0</v>
      </c>
      <c r="S65" s="62">
        <v>20000.0</v>
      </c>
      <c r="T65" s="62">
        <v>10000.0</v>
      </c>
      <c r="U65" s="62">
        <v>5000.0</v>
      </c>
      <c r="V65" s="62">
        <v>5000.0</v>
      </c>
      <c r="W65" s="62">
        <v>3000.0</v>
      </c>
      <c r="X65" s="62">
        <v>0.0</v>
      </c>
      <c r="Y65" s="62">
        <v>0.0</v>
      </c>
      <c r="Z65" s="62">
        <v>16000.0</v>
      </c>
      <c r="AA65" s="62">
        <v>24000.0</v>
      </c>
      <c r="AB65" s="62">
        <v>20000.0</v>
      </c>
      <c r="AC65" s="62">
        <v>0.0</v>
      </c>
      <c r="AD65" s="62">
        <v>0.0</v>
      </c>
    </row>
    <row r="66" ht="22.5" customHeight="1">
      <c r="A66" s="62" t="s">
        <v>234</v>
      </c>
      <c r="B66" s="62" t="s">
        <v>1135</v>
      </c>
      <c r="C66" s="62" t="s">
        <v>1148</v>
      </c>
      <c r="D66" s="62">
        <v>2026.0</v>
      </c>
      <c r="E66" s="63">
        <v>16.5529615454</v>
      </c>
      <c r="F66" s="62">
        <v>12000.0</v>
      </c>
      <c r="G66" s="71">
        <v>10000.0</v>
      </c>
      <c r="H66" s="71">
        <v>3000.0</v>
      </c>
      <c r="I66" s="64" t="s">
        <v>1092</v>
      </c>
      <c r="J66" s="62">
        <v>5000.0</v>
      </c>
      <c r="K66" s="62">
        <v>5000.0</v>
      </c>
      <c r="L66" s="62">
        <v>3000.0</v>
      </c>
      <c r="M66" s="62">
        <v>6000.0</v>
      </c>
      <c r="N66" s="62">
        <v>0.0</v>
      </c>
      <c r="O66" s="62">
        <v>0.0</v>
      </c>
      <c r="P66" s="62">
        <v>0.0</v>
      </c>
      <c r="Q66" s="62">
        <v>8000.0</v>
      </c>
      <c r="R66" s="62">
        <v>5000.0</v>
      </c>
      <c r="S66" s="62">
        <v>12000.0</v>
      </c>
      <c r="T66" s="62">
        <v>5000.0</v>
      </c>
      <c r="U66" s="62">
        <v>2000.0</v>
      </c>
      <c r="V66" s="62">
        <v>7000.0</v>
      </c>
      <c r="W66" s="62">
        <v>12000.0</v>
      </c>
      <c r="X66" s="62">
        <v>5000.0</v>
      </c>
      <c r="Y66" s="62">
        <v>0.0</v>
      </c>
      <c r="Z66" s="62">
        <v>0.0</v>
      </c>
      <c r="AA66" s="62">
        <v>0.0</v>
      </c>
      <c r="AB66" s="62">
        <v>0.0</v>
      </c>
      <c r="AC66" s="62">
        <v>7000.0</v>
      </c>
      <c r="AD66" s="62">
        <v>0.0</v>
      </c>
    </row>
    <row r="67" ht="22.5" customHeight="1">
      <c r="A67" s="62" t="s">
        <v>234</v>
      </c>
      <c r="B67" s="62" t="s">
        <v>1109</v>
      </c>
      <c r="C67" s="62" t="s">
        <v>1110</v>
      </c>
      <c r="D67" s="62">
        <v>2022.0</v>
      </c>
      <c r="E67" s="63">
        <v>23.0283132751</v>
      </c>
      <c r="F67" s="62">
        <v>1000.0</v>
      </c>
      <c r="G67" s="71">
        <v>0.0</v>
      </c>
      <c r="H67" s="71">
        <v>25000.0</v>
      </c>
      <c r="I67" s="64" t="s">
        <v>1092</v>
      </c>
      <c r="J67" s="62">
        <v>9000.0</v>
      </c>
      <c r="K67" s="62">
        <v>0.0</v>
      </c>
      <c r="L67" s="62">
        <v>0.0</v>
      </c>
      <c r="M67" s="62">
        <v>0.0</v>
      </c>
      <c r="N67" s="62">
        <v>0.0</v>
      </c>
      <c r="O67" s="62">
        <v>0.0</v>
      </c>
      <c r="P67" s="62">
        <v>0.0</v>
      </c>
      <c r="Q67" s="62">
        <v>0.0</v>
      </c>
      <c r="R67" s="62">
        <v>0.0</v>
      </c>
      <c r="S67" s="62">
        <v>5000.0</v>
      </c>
      <c r="T67" s="62">
        <v>3.0</v>
      </c>
      <c r="U67" s="62">
        <v>8000.0</v>
      </c>
      <c r="V67" s="62">
        <v>7000.0</v>
      </c>
      <c r="W67" s="62">
        <v>7000.0</v>
      </c>
      <c r="X67" s="62">
        <v>7000.0</v>
      </c>
      <c r="Y67" s="62">
        <v>0.0</v>
      </c>
      <c r="Z67" s="62">
        <v>12000.0</v>
      </c>
      <c r="AA67" s="62">
        <v>10000.0</v>
      </c>
      <c r="AB67" s="62">
        <v>5000.0</v>
      </c>
      <c r="AC67" s="62">
        <v>0.0</v>
      </c>
      <c r="AD67" s="62">
        <v>0.0</v>
      </c>
    </row>
    <row r="68" ht="22.5" customHeight="1">
      <c r="A68" s="62" t="s">
        <v>234</v>
      </c>
      <c r="B68" s="62" t="s">
        <v>1133</v>
      </c>
      <c r="C68" s="62" t="s">
        <v>1134</v>
      </c>
      <c r="D68" s="62">
        <v>2025.0</v>
      </c>
      <c r="E68" s="63">
        <v>53.6279968265</v>
      </c>
      <c r="F68" s="62">
        <v>0.0</v>
      </c>
      <c r="G68" s="71">
        <v>0.0</v>
      </c>
      <c r="H68" s="71">
        <v>0.0</v>
      </c>
      <c r="I68" s="64" t="s">
        <v>1092</v>
      </c>
      <c r="J68" s="62">
        <v>10000.0</v>
      </c>
      <c r="K68" s="62">
        <v>10000.0</v>
      </c>
      <c r="L68" s="62">
        <v>0.0</v>
      </c>
      <c r="M68" s="62">
        <v>20000.0</v>
      </c>
      <c r="N68" s="62">
        <v>20000.0</v>
      </c>
      <c r="O68" s="62">
        <v>15000.0</v>
      </c>
      <c r="P68" s="62">
        <v>10000.0</v>
      </c>
      <c r="Q68" s="62">
        <v>0.0</v>
      </c>
      <c r="R68" s="62">
        <v>0.0</v>
      </c>
      <c r="S68" s="62">
        <v>10000.0</v>
      </c>
      <c r="T68" s="62">
        <v>25000.0</v>
      </c>
      <c r="U68" s="62">
        <v>30000.0</v>
      </c>
      <c r="V68" s="62">
        <v>20000.0</v>
      </c>
      <c r="W68" s="62">
        <v>0.0</v>
      </c>
      <c r="X68" s="62">
        <v>27000.0</v>
      </c>
      <c r="Y68" s="62">
        <v>30000.0</v>
      </c>
      <c r="Z68" s="62">
        <v>26000.0</v>
      </c>
      <c r="AA68" s="62">
        <v>0.0</v>
      </c>
      <c r="AB68" s="62">
        <v>0.0</v>
      </c>
      <c r="AC68" s="62">
        <v>0.0</v>
      </c>
      <c r="AD68" s="62">
        <v>0.0</v>
      </c>
    </row>
    <row r="69" ht="22.5" customHeight="1">
      <c r="A69" s="62" t="s">
        <v>234</v>
      </c>
      <c r="B69" s="62" t="s">
        <v>1107</v>
      </c>
      <c r="C69" s="62" t="s">
        <v>1108</v>
      </c>
      <c r="D69" s="62">
        <v>2022.0</v>
      </c>
      <c r="E69" s="63">
        <v>52.1536105648</v>
      </c>
      <c r="F69" s="62">
        <v>7000.0</v>
      </c>
      <c r="G69" s="71">
        <v>0.0</v>
      </c>
      <c r="H69" s="71">
        <v>10000.0</v>
      </c>
      <c r="I69" s="64" t="s">
        <v>1092</v>
      </c>
      <c r="J69" s="62">
        <v>18000.0</v>
      </c>
      <c r="K69" s="62">
        <v>0.0</v>
      </c>
      <c r="L69" s="62">
        <v>0.0</v>
      </c>
      <c r="M69" s="62">
        <v>25000.0</v>
      </c>
      <c r="N69" s="62">
        <v>20000.0</v>
      </c>
      <c r="O69" s="62">
        <v>15000.0</v>
      </c>
      <c r="P69" s="62">
        <v>10000.0</v>
      </c>
      <c r="Q69" s="62">
        <v>0.0</v>
      </c>
      <c r="R69" s="62">
        <v>0.0</v>
      </c>
      <c r="S69" s="62">
        <v>25000.0</v>
      </c>
      <c r="T69" s="62">
        <v>20000.0</v>
      </c>
      <c r="U69" s="62">
        <v>6000.0</v>
      </c>
      <c r="V69" s="62">
        <v>6000.0</v>
      </c>
      <c r="W69" s="62">
        <v>8000.0</v>
      </c>
      <c r="X69" s="62">
        <v>0.0</v>
      </c>
      <c r="Y69" s="62">
        <v>0.0</v>
      </c>
      <c r="Z69" s="62">
        <v>31000.0</v>
      </c>
      <c r="AA69" s="62">
        <v>31000.0</v>
      </c>
      <c r="AB69" s="62">
        <v>15000.0</v>
      </c>
      <c r="AC69" s="62">
        <v>10000.0</v>
      </c>
      <c r="AD69" s="62">
        <v>0.0</v>
      </c>
    </row>
    <row r="70" ht="22.5" customHeight="1">
      <c r="A70" s="62" t="s">
        <v>234</v>
      </c>
      <c r="B70" s="62" t="s">
        <v>1151</v>
      </c>
      <c r="C70" s="62" t="s">
        <v>1152</v>
      </c>
      <c r="D70" s="62">
        <v>2026.0</v>
      </c>
      <c r="E70" s="63">
        <v>6.73257861682</v>
      </c>
      <c r="F70" s="62">
        <v>1000.0</v>
      </c>
      <c r="G70" s="71">
        <v>1000.0</v>
      </c>
      <c r="H70" s="71">
        <v>0.0</v>
      </c>
      <c r="I70" s="64" t="s">
        <v>1092</v>
      </c>
      <c r="J70" s="62">
        <v>0.0</v>
      </c>
      <c r="K70" s="62">
        <v>0.0</v>
      </c>
      <c r="L70" s="62">
        <v>0.0</v>
      </c>
      <c r="M70" s="62">
        <v>0.0</v>
      </c>
      <c r="N70" s="62">
        <v>0.0</v>
      </c>
      <c r="O70" s="62">
        <v>3000.0</v>
      </c>
      <c r="P70" s="62">
        <v>3000.0</v>
      </c>
      <c r="Q70" s="62">
        <v>3000.0</v>
      </c>
      <c r="R70" s="62">
        <v>0.0</v>
      </c>
      <c r="S70" s="62">
        <v>0.0</v>
      </c>
      <c r="T70" s="62">
        <v>0.0</v>
      </c>
      <c r="U70" s="62">
        <v>0.0</v>
      </c>
      <c r="V70" s="62">
        <v>1000.0</v>
      </c>
      <c r="W70" s="62">
        <v>3000.0</v>
      </c>
      <c r="X70" s="62">
        <v>0.0</v>
      </c>
      <c r="Y70" s="62">
        <v>0.0</v>
      </c>
      <c r="Z70" s="62">
        <v>0.0</v>
      </c>
      <c r="AA70" s="62">
        <v>3500.0</v>
      </c>
      <c r="AB70" s="62">
        <v>3500.0</v>
      </c>
      <c r="AC70" s="62">
        <v>2000.0</v>
      </c>
      <c r="AD70" s="62">
        <v>0.0</v>
      </c>
    </row>
    <row r="71" ht="22.5" customHeight="1">
      <c r="A71" s="62" t="s">
        <v>234</v>
      </c>
      <c r="B71" s="62" t="s">
        <v>1149</v>
      </c>
      <c r="C71" s="62" t="s">
        <v>1150</v>
      </c>
      <c r="D71" s="62">
        <v>2026.0</v>
      </c>
      <c r="E71" s="63">
        <v>21.9569411482</v>
      </c>
      <c r="F71" s="62">
        <v>0.0</v>
      </c>
      <c r="G71" s="71">
        <v>0.0</v>
      </c>
      <c r="H71" s="71">
        <v>15000.0</v>
      </c>
      <c r="I71" s="64" t="s">
        <v>1092</v>
      </c>
      <c r="J71" s="62">
        <v>11000.0</v>
      </c>
      <c r="K71" s="62">
        <v>11000.0</v>
      </c>
      <c r="L71" s="62">
        <v>0.0</v>
      </c>
      <c r="M71" s="62">
        <v>11000.0</v>
      </c>
      <c r="N71" s="62">
        <v>11000.0</v>
      </c>
      <c r="O71" s="62">
        <v>15000.0</v>
      </c>
      <c r="P71" s="62">
        <v>11000.0</v>
      </c>
      <c r="Q71" s="62">
        <v>6000.0</v>
      </c>
      <c r="R71" s="62">
        <v>0.0</v>
      </c>
      <c r="S71" s="62">
        <v>4000.0</v>
      </c>
      <c r="T71" s="62">
        <v>8000.0</v>
      </c>
      <c r="U71" s="62">
        <v>6000.0</v>
      </c>
      <c r="V71" s="62">
        <v>4000.0</v>
      </c>
      <c r="W71" s="62">
        <v>2000.0</v>
      </c>
      <c r="X71" s="62">
        <v>11000.0</v>
      </c>
      <c r="Y71" s="62">
        <v>6000.0</v>
      </c>
      <c r="Z71" s="62">
        <v>7000.0</v>
      </c>
      <c r="AA71" s="62">
        <v>4000.0</v>
      </c>
      <c r="AB71" s="62">
        <v>0.0</v>
      </c>
      <c r="AC71" s="62">
        <v>0.0</v>
      </c>
      <c r="AD71" s="62">
        <v>0.0</v>
      </c>
    </row>
    <row r="72" ht="22.5" customHeight="1">
      <c r="A72" s="62" t="s">
        <v>234</v>
      </c>
      <c r="B72" s="62" t="s">
        <v>1172</v>
      </c>
      <c r="C72" s="62" t="s">
        <v>1173</v>
      </c>
      <c r="D72" s="62" t="s">
        <v>1163</v>
      </c>
      <c r="E72" s="63">
        <v>14.3042001117</v>
      </c>
      <c r="F72" s="62">
        <v>6000.0</v>
      </c>
      <c r="G72" s="71">
        <v>2000.0</v>
      </c>
      <c r="H72" s="71">
        <v>1000.0</v>
      </c>
      <c r="I72" s="64" t="s">
        <v>1092</v>
      </c>
      <c r="J72" s="62">
        <v>0.0</v>
      </c>
      <c r="K72" s="62">
        <v>0.0</v>
      </c>
      <c r="L72" s="62">
        <v>0.0</v>
      </c>
      <c r="M72" s="62">
        <v>0.0</v>
      </c>
      <c r="N72" s="62">
        <v>0.0</v>
      </c>
      <c r="O72" s="62">
        <v>6000.0</v>
      </c>
      <c r="P72" s="62">
        <v>8000.0</v>
      </c>
      <c r="Q72" s="62">
        <v>3000.0</v>
      </c>
      <c r="R72" s="62">
        <v>1500.0</v>
      </c>
      <c r="S72" s="62">
        <v>0.0</v>
      </c>
      <c r="T72" s="62">
        <v>0.0</v>
      </c>
      <c r="U72" s="62">
        <v>2000.0</v>
      </c>
      <c r="V72" s="62">
        <v>2000.0</v>
      </c>
      <c r="W72" s="62">
        <v>4000.0</v>
      </c>
      <c r="X72" s="62">
        <v>5000.0</v>
      </c>
      <c r="Y72" s="62">
        <v>0.0</v>
      </c>
      <c r="Z72" s="62">
        <v>0.0</v>
      </c>
      <c r="AA72" s="62">
        <v>0.0</v>
      </c>
      <c r="AB72" s="62">
        <v>0.0</v>
      </c>
      <c r="AC72" s="62">
        <v>0.0</v>
      </c>
      <c r="AD72" s="62">
        <v>0.0</v>
      </c>
    </row>
    <row r="73" ht="22.5" customHeight="1">
      <c r="A73" s="62" t="s">
        <v>95</v>
      </c>
      <c r="B73" s="62" t="s">
        <v>1115</v>
      </c>
      <c r="C73" s="62" t="s">
        <v>1116</v>
      </c>
      <c r="D73" s="62">
        <v>2023.0</v>
      </c>
      <c r="E73" s="63">
        <v>30.7513054957</v>
      </c>
      <c r="F73" s="62">
        <v>0.0</v>
      </c>
      <c r="G73" s="71">
        <v>0.0</v>
      </c>
      <c r="H73" s="71">
        <v>0.0</v>
      </c>
      <c r="I73" s="64" t="s">
        <v>1092</v>
      </c>
      <c r="J73" s="62">
        <v>4000.0</v>
      </c>
      <c r="K73" s="62">
        <v>4000.0</v>
      </c>
      <c r="L73" s="62">
        <v>0.0</v>
      </c>
      <c r="M73" s="62">
        <v>0.0</v>
      </c>
      <c r="N73" s="62">
        <v>0.0</v>
      </c>
      <c r="O73" s="62">
        <v>4000.0</v>
      </c>
      <c r="P73" s="62">
        <v>3000.0</v>
      </c>
      <c r="Q73" s="62">
        <v>0.0</v>
      </c>
      <c r="R73" s="62">
        <v>0.0</v>
      </c>
      <c r="S73" s="62">
        <v>2000.0</v>
      </c>
      <c r="T73" s="62">
        <v>6000.0</v>
      </c>
      <c r="U73" s="62">
        <v>2000.0</v>
      </c>
      <c r="V73" s="62">
        <v>3000.0</v>
      </c>
      <c r="W73" s="62">
        <v>7500.0</v>
      </c>
      <c r="X73" s="62">
        <v>0.0</v>
      </c>
      <c r="Y73" s="62">
        <v>0.0</v>
      </c>
      <c r="Z73" s="62">
        <v>0.0</v>
      </c>
      <c r="AA73" s="62">
        <v>13000.0</v>
      </c>
      <c r="AB73" s="62">
        <v>21000.0</v>
      </c>
      <c r="AC73" s="62">
        <v>0.0</v>
      </c>
      <c r="AD73" s="62">
        <v>0.0</v>
      </c>
    </row>
    <row r="74" ht="22.5" customHeight="1">
      <c r="A74" s="62" t="s">
        <v>95</v>
      </c>
      <c r="B74" s="62" t="s">
        <v>1125</v>
      </c>
      <c r="C74" s="62" t="s">
        <v>1126</v>
      </c>
      <c r="D74" s="62">
        <v>2024.0</v>
      </c>
      <c r="E74" s="63">
        <v>32.6661500852</v>
      </c>
      <c r="F74" s="62">
        <v>0.0</v>
      </c>
      <c r="G74" s="71">
        <v>0.0</v>
      </c>
      <c r="H74" s="71">
        <v>30000.0</v>
      </c>
      <c r="I74" s="64" t="s">
        <v>1092</v>
      </c>
      <c r="J74" s="62">
        <v>22000.0</v>
      </c>
      <c r="K74" s="62">
        <v>5000.0</v>
      </c>
      <c r="L74" s="62">
        <v>12000.0</v>
      </c>
      <c r="M74" s="62">
        <v>18000.0</v>
      </c>
      <c r="N74" s="62">
        <v>18000.0</v>
      </c>
      <c r="O74" s="62">
        <v>0.0</v>
      </c>
      <c r="P74" s="62">
        <v>0.0</v>
      </c>
      <c r="Q74" s="62">
        <v>3000.0</v>
      </c>
      <c r="R74" s="62">
        <v>15000.0</v>
      </c>
      <c r="S74" s="62">
        <v>36000.0</v>
      </c>
      <c r="T74" s="62">
        <v>8000.0</v>
      </c>
      <c r="U74" s="62">
        <v>0.0</v>
      </c>
      <c r="V74" s="62">
        <v>3000.0</v>
      </c>
      <c r="W74" s="62">
        <v>7500.0</v>
      </c>
      <c r="X74" s="62">
        <v>10000.0</v>
      </c>
      <c r="Y74" s="62">
        <v>6000.0</v>
      </c>
      <c r="Z74" s="62">
        <v>0.0</v>
      </c>
      <c r="AA74" s="62">
        <v>0.0</v>
      </c>
      <c r="AB74" s="62">
        <v>15000.0</v>
      </c>
      <c r="AC74" s="62">
        <v>25000.0</v>
      </c>
      <c r="AD74" s="62">
        <v>0.0</v>
      </c>
    </row>
    <row r="75" ht="22.5" customHeight="1">
      <c r="A75" s="62" t="s">
        <v>95</v>
      </c>
      <c r="B75" s="62" t="s">
        <v>1127</v>
      </c>
      <c r="C75" s="62" t="s">
        <v>1128</v>
      </c>
      <c r="D75" s="62">
        <v>2024.0</v>
      </c>
      <c r="E75" s="63">
        <v>8.50617469066</v>
      </c>
      <c r="F75" s="62">
        <v>0.0</v>
      </c>
      <c r="G75" s="71">
        <v>0.0</v>
      </c>
      <c r="H75" s="71">
        <v>6000.0</v>
      </c>
      <c r="I75" s="64" t="s">
        <v>1092</v>
      </c>
      <c r="J75" s="62">
        <v>2500.0</v>
      </c>
      <c r="K75" s="62">
        <v>1000.0</v>
      </c>
      <c r="L75" s="62">
        <v>4000.0</v>
      </c>
      <c r="M75" s="62">
        <v>3000.0</v>
      </c>
      <c r="N75" s="62">
        <v>0.0</v>
      </c>
      <c r="O75" s="62">
        <v>0.0</v>
      </c>
      <c r="P75" s="62">
        <v>0.0</v>
      </c>
      <c r="Q75" s="62">
        <v>1000.0</v>
      </c>
      <c r="R75" s="62">
        <v>3500.0</v>
      </c>
      <c r="S75" s="62">
        <v>3500.0</v>
      </c>
      <c r="T75" s="62">
        <v>2000.0</v>
      </c>
      <c r="U75" s="62">
        <v>0.0</v>
      </c>
      <c r="V75" s="62">
        <v>2000.0</v>
      </c>
      <c r="W75" s="62">
        <v>3000.0</v>
      </c>
      <c r="X75" s="62">
        <v>3000.0</v>
      </c>
      <c r="Y75" s="62">
        <v>1000.0</v>
      </c>
      <c r="Z75" s="62">
        <v>0.0</v>
      </c>
      <c r="AA75" s="62">
        <v>0.0</v>
      </c>
      <c r="AB75" s="62">
        <v>2500.0</v>
      </c>
      <c r="AC75" s="62">
        <v>6000.0</v>
      </c>
      <c r="AD75" s="62">
        <v>0.0</v>
      </c>
    </row>
    <row r="76" ht="22.5" customHeight="1">
      <c r="A76" s="62" t="s">
        <v>95</v>
      </c>
      <c r="B76" s="62" t="s">
        <v>1157</v>
      </c>
      <c r="C76" s="62" t="s">
        <v>1158</v>
      </c>
      <c r="D76" s="62">
        <v>2027.0</v>
      </c>
      <c r="E76" s="63">
        <v>27.3393036699</v>
      </c>
      <c r="F76" s="62">
        <v>3000.0</v>
      </c>
      <c r="G76" s="71">
        <v>0.0</v>
      </c>
      <c r="H76" s="71">
        <v>0.0</v>
      </c>
      <c r="I76" s="64" t="s">
        <v>1092</v>
      </c>
      <c r="J76" s="62">
        <v>12000.0</v>
      </c>
      <c r="K76" s="62">
        <v>10000.0</v>
      </c>
      <c r="L76" s="62">
        <v>0.0</v>
      </c>
      <c r="M76" s="62">
        <v>0.0</v>
      </c>
      <c r="N76" s="62">
        <v>15000.0</v>
      </c>
      <c r="O76" s="62">
        <v>15000.0</v>
      </c>
      <c r="P76" s="62">
        <v>4000.0</v>
      </c>
      <c r="Q76" s="62">
        <v>0.0</v>
      </c>
      <c r="R76" s="62">
        <v>0.0</v>
      </c>
      <c r="S76" s="62">
        <v>3000.0</v>
      </c>
      <c r="T76" s="62">
        <v>12000.0</v>
      </c>
      <c r="U76" s="62">
        <v>10000.0</v>
      </c>
      <c r="V76" s="62">
        <v>7000.0</v>
      </c>
      <c r="W76" s="62">
        <v>9000.0</v>
      </c>
      <c r="X76" s="62">
        <v>0.0</v>
      </c>
      <c r="Y76" s="62">
        <v>0.0</v>
      </c>
      <c r="Z76" s="62">
        <v>10000.0</v>
      </c>
      <c r="AA76" s="62">
        <v>10000.0</v>
      </c>
      <c r="AB76" s="62">
        <v>0.0</v>
      </c>
      <c r="AC76" s="62">
        <v>0.0</v>
      </c>
      <c r="AD76" s="62">
        <v>0.0</v>
      </c>
    </row>
    <row r="77" ht="22.5" customHeight="1">
      <c r="A77" s="62" t="s">
        <v>95</v>
      </c>
      <c r="B77" s="62" t="s">
        <v>1119</v>
      </c>
      <c r="C77" s="62" t="s">
        <v>1120</v>
      </c>
      <c r="D77" s="62">
        <v>2023.0</v>
      </c>
      <c r="E77" s="63">
        <v>33.5305766338</v>
      </c>
      <c r="F77" s="62">
        <v>0.0</v>
      </c>
      <c r="G77" s="71">
        <v>0.0</v>
      </c>
      <c r="H77" s="71">
        <v>0.0</v>
      </c>
      <c r="I77" s="64" t="s">
        <v>1092</v>
      </c>
      <c r="J77" s="62">
        <v>24000.0</v>
      </c>
      <c r="K77" s="62">
        <v>5000.0</v>
      </c>
      <c r="L77" s="62">
        <v>20000.0</v>
      </c>
      <c r="M77" s="62">
        <v>20000.0</v>
      </c>
      <c r="N77" s="62">
        <v>15000.0</v>
      </c>
      <c r="O77" s="62">
        <v>6000.0</v>
      </c>
      <c r="P77" s="62">
        <v>9000.0</v>
      </c>
      <c r="Q77" s="62">
        <v>14000.0</v>
      </c>
      <c r="R77" s="62">
        <v>7000.0</v>
      </c>
      <c r="S77" s="62">
        <v>7000.0</v>
      </c>
      <c r="T77" s="62">
        <v>0.0</v>
      </c>
      <c r="U77" s="62">
        <v>0.0</v>
      </c>
      <c r="V77" s="62">
        <v>25000.0</v>
      </c>
      <c r="W77" s="62">
        <v>15000.0</v>
      </c>
      <c r="X77" s="62">
        <v>12000.0</v>
      </c>
      <c r="Y77" s="62">
        <v>0.0</v>
      </c>
      <c r="Z77" s="62">
        <v>0.0</v>
      </c>
      <c r="AA77" s="62">
        <v>22000.0</v>
      </c>
      <c r="AB77" s="62">
        <v>20000.0</v>
      </c>
      <c r="AC77" s="62">
        <v>15000.0</v>
      </c>
      <c r="AD77" s="62">
        <v>0.0</v>
      </c>
    </row>
    <row r="78" ht="22.5" customHeight="1">
      <c r="A78" s="62" t="s">
        <v>95</v>
      </c>
      <c r="B78" s="62" t="s">
        <v>1129</v>
      </c>
      <c r="C78" s="62" t="s">
        <v>1130</v>
      </c>
      <c r="D78" s="62">
        <v>2025.0</v>
      </c>
      <c r="E78" s="63">
        <v>21.6827396902</v>
      </c>
      <c r="F78" s="62">
        <v>2000.0</v>
      </c>
      <c r="G78" s="71">
        <v>0.0</v>
      </c>
      <c r="H78" s="71">
        <v>0.0</v>
      </c>
      <c r="I78" s="64" t="s">
        <v>1092</v>
      </c>
      <c r="J78" s="62">
        <v>0.0</v>
      </c>
      <c r="K78" s="62">
        <v>3000.0</v>
      </c>
      <c r="L78" s="62">
        <v>11000.0</v>
      </c>
      <c r="M78" s="62">
        <v>11000.0</v>
      </c>
      <c r="N78" s="62">
        <v>6000.0</v>
      </c>
      <c r="O78" s="62">
        <v>0.0</v>
      </c>
      <c r="P78" s="62">
        <v>0.0</v>
      </c>
      <c r="Q78" s="62">
        <v>0.0</v>
      </c>
      <c r="R78" s="62">
        <v>0.0</v>
      </c>
      <c r="S78" s="62">
        <v>6000.0</v>
      </c>
      <c r="T78" s="62">
        <v>8000.0</v>
      </c>
      <c r="U78" s="62">
        <v>6000.0</v>
      </c>
      <c r="V78" s="62">
        <v>0.0</v>
      </c>
      <c r="W78" s="62">
        <v>3000.0</v>
      </c>
      <c r="X78" s="62">
        <v>7000.0</v>
      </c>
      <c r="Y78" s="62">
        <v>7000.0</v>
      </c>
      <c r="Z78" s="62">
        <v>0.0</v>
      </c>
      <c r="AA78" s="62">
        <v>0.0</v>
      </c>
      <c r="AB78" s="62">
        <v>0.0</v>
      </c>
      <c r="AC78" s="62">
        <v>0.0</v>
      </c>
      <c r="AD78" s="62">
        <v>0.0</v>
      </c>
    </row>
    <row r="79" ht="22.5" customHeight="1">
      <c r="A79" s="62" t="s">
        <v>95</v>
      </c>
      <c r="B79" s="62" t="s">
        <v>1168</v>
      </c>
      <c r="C79" s="62" t="s">
        <v>1169</v>
      </c>
      <c r="D79" s="62" t="s">
        <v>1163</v>
      </c>
      <c r="E79" s="63">
        <v>8.73790091166</v>
      </c>
      <c r="F79" s="62">
        <v>6000.0</v>
      </c>
      <c r="G79" s="71">
        <v>5000.0</v>
      </c>
      <c r="H79" s="71">
        <v>4500.0</v>
      </c>
      <c r="I79" s="64" t="s">
        <v>1092</v>
      </c>
      <c r="J79" s="62">
        <v>0.0</v>
      </c>
      <c r="K79" s="62">
        <v>0.0</v>
      </c>
      <c r="L79" s="62">
        <v>0.0</v>
      </c>
      <c r="M79" s="62">
        <v>0.0</v>
      </c>
      <c r="N79" s="62">
        <v>0.0</v>
      </c>
      <c r="O79" s="62">
        <v>0.0</v>
      </c>
      <c r="P79" s="62">
        <v>0.0</v>
      </c>
      <c r="Q79" s="62">
        <v>0.0</v>
      </c>
      <c r="R79" s="62">
        <v>0.0</v>
      </c>
      <c r="S79" s="62">
        <v>0.0</v>
      </c>
      <c r="T79" s="62">
        <v>0.0</v>
      </c>
      <c r="U79" s="62">
        <v>1000.0</v>
      </c>
      <c r="V79" s="62">
        <v>0.0</v>
      </c>
      <c r="W79" s="62">
        <v>0.0</v>
      </c>
      <c r="X79" s="62">
        <v>0.0</v>
      </c>
      <c r="Y79" s="62">
        <v>0.0</v>
      </c>
      <c r="Z79" s="62">
        <v>0.0</v>
      </c>
      <c r="AA79" s="62">
        <v>0.0</v>
      </c>
      <c r="AB79" s="62">
        <v>0.0</v>
      </c>
      <c r="AC79" s="62">
        <v>0.0</v>
      </c>
      <c r="AD79" s="62">
        <v>0.0</v>
      </c>
    </row>
    <row r="80" ht="22.5" customHeight="1">
      <c r="A80" s="62" t="s">
        <v>95</v>
      </c>
      <c r="B80" s="62" t="s">
        <v>1101</v>
      </c>
      <c r="C80" s="62" t="s">
        <v>1102</v>
      </c>
      <c r="D80" s="62">
        <v>2022.0</v>
      </c>
      <c r="E80" s="63">
        <v>7.2930020469</v>
      </c>
      <c r="F80" s="62">
        <v>1000.0</v>
      </c>
      <c r="G80" s="71">
        <v>1000.0</v>
      </c>
      <c r="H80" s="71">
        <v>3000.0</v>
      </c>
      <c r="I80" s="64" t="s">
        <v>1092</v>
      </c>
      <c r="J80" s="62">
        <v>0.0</v>
      </c>
      <c r="K80" s="62">
        <v>0.0</v>
      </c>
      <c r="L80" s="62">
        <v>0.0</v>
      </c>
      <c r="M80" s="62">
        <v>0.0</v>
      </c>
      <c r="N80" s="62">
        <v>0.0</v>
      </c>
      <c r="O80" s="62">
        <v>0.0</v>
      </c>
      <c r="P80" s="62">
        <v>0.0</v>
      </c>
      <c r="Q80" s="62">
        <v>1000.0</v>
      </c>
      <c r="R80" s="62">
        <v>2500.0</v>
      </c>
      <c r="S80" s="62">
        <v>3500.0</v>
      </c>
      <c r="T80" s="62">
        <v>1000.0</v>
      </c>
      <c r="U80" s="62">
        <v>2000.0</v>
      </c>
      <c r="V80" s="62">
        <v>0.0</v>
      </c>
      <c r="W80" s="62">
        <v>0.0</v>
      </c>
      <c r="X80" s="62">
        <v>2000.0</v>
      </c>
      <c r="Y80" s="62">
        <v>0.0</v>
      </c>
      <c r="Z80" s="62">
        <v>2000.0</v>
      </c>
      <c r="AA80" s="62">
        <v>2000.0</v>
      </c>
      <c r="AB80" s="62">
        <v>1000.0</v>
      </c>
      <c r="AC80" s="62">
        <v>0.0</v>
      </c>
      <c r="AD80" s="62">
        <v>0.0</v>
      </c>
    </row>
    <row r="81" ht="22.5" customHeight="1">
      <c r="A81" s="62" t="s">
        <v>95</v>
      </c>
      <c r="B81" s="62" t="s">
        <v>1105</v>
      </c>
      <c r="C81" s="62" t="s">
        <v>1106</v>
      </c>
      <c r="D81" s="62">
        <v>2022.0</v>
      </c>
      <c r="E81" s="63">
        <v>21.6269020049</v>
      </c>
      <c r="F81" s="62">
        <v>2500.0</v>
      </c>
      <c r="G81" s="71">
        <v>0.0</v>
      </c>
      <c r="H81" s="71">
        <v>15000.0</v>
      </c>
      <c r="I81" s="64" t="s">
        <v>1092</v>
      </c>
      <c r="J81" s="62">
        <v>8000.0</v>
      </c>
      <c r="K81" s="62">
        <v>0.0</v>
      </c>
      <c r="L81" s="62">
        <v>0.0</v>
      </c>
      <c r="M81" s="62">
        <v>0.0</v>
      </c>
      <c r="N81" s="62">
        <v>0.0</v>
      </c>
      <c r="O81" s="62">
        <v>0.0</v>
      </c>
      <c r="P81" s="62">
        <v>12000.0</v>
      </c>
      <c r="Q81" s="62">
        <v>8000.0</v>
      </c>
      <c r="R81" s="62">
        <v>4000.0</v>
      </c>
      <c r="S81" s="62">
        <v>0.0</v>
      </c>
      <c r="T81" s="62">
        <v>0.0</v>
      </c>
      <c r="U81" s="62">
        <v>6000.0</v>
      </c>
      <c r="V81" s="62">
        <v>15000.0</v>
      </c>
      <c r="W81" s="62">
        <v>15000.0</v>
      </c>
      <c r="X81" s="62">
        <v>0.0</v>
      </c>
      <c r="Y81" s="62">
        <v>0.0</v>
      </c>
      <c r="Z81" s="62">
        <v>8000.0</v>
      </c>
      <c r="AA81" s="62">
        <v>12000.0</v>
      </c>
      <c r="AB81" s="62">
        <v>8000.0</v>
      </c>
      <c r="AC81" s="62">
        <v>0.0</v>
      </c>
      <c r="AD81" s="62">
        <v>0.0</v>
      </c>
    </row>
    <row r="82" ht="22.5" customHeight="1">
      <c r="A82" s="62" t="s">
        <v>95</v>
      </c>
      <c r="B82" s="62" t="s">
        <v>1093</v>
      </c>
      <c r="C82" s="62" t="s">
        <v>1094</v>
      </c>
      <c r="D82" s="62">
        <v>2021.0</v>
      </c>
      <c r="E82" s="63">
        <v>31.0370262599</v>
      </c>
      <c r="F82" s="62">
        <v>0.0</v>
      </c>
      <c r="G82" s="71">
        <v>0.0</v>
      </c>
      <c r="H82" s="71">
        <v>8000.0</v>
      </c>
      <c r="I82" s="64" t="s">
        <v>1092</v>
      </c>
      <c r="J82" s="62">
        <v>12000.0</v>
      </c>
      <c r="K82" s="62">
        <v>4000.0</v>
      </c>
      <c r="L82" s="62">
        <v>0.0</v>
      </c>
      <c r="M82" s="62">
        <v>0.0</v>
      </c>
      <c r="N82" s="62">
        <v>0.0</v>
      </c>
      <c r="O82" s="62">
        <v>7000.0</v>
      </c>
      <c r="P82" s="62">
        <v>18000.0</v>
      </c>
      <c r="Q82" s="62">
        <v>10000.0</v>
      </c>
      <c r="R82" s="62">
        <v>8000.0</v>
      </c>
      <c r="S82" s="62">
        <v>3000.0</v>
      </c>
      <c r="T82" s="62">
        <v>3000.0</v>
      </c>
      <c r="U82" s="62">
        <v>6000.0</v>
      </c>
      <c r="V82" s="62">
        <v>6000.0</v>
      </c>
      <c r="W82" s="62">
        <v>0.0</v>
      </c>
      <c r="X82" s="62">
        <v>0.0</v>
      </c>
      <c r="Y82" s="62">
        <v>10000.0</v>
      </c>
      <c r="Z82" s="62">
        <v>18000.0</v>
      </c>
      <c r="AA82" s="62">
        <v>18000.0</v>
      </c>
      <c r="AB82" s="62">
        <v>10000.0</v>
      </c>
      <c r="AC82" s="62">
        <v>0.0</v>
      </c>
      <c r="AD82" s="62">
        <v>0.0</v>
      </c>
    </row>
    <row r="83" ht="22.5" customHeight="1">
      <c r="A83" s="62" t="s">
        <v>95</v>
      </c>
      <c r="B83" s="62" t="s">
        <v>1123</v>
      </c>
      <c r="C83" s="62" t="s">
        <v>1124</v>
      </c>
      <c r="D83" s="62">
        <v>2024.0</v>
      </c>
      <c r="E83" s="63">
        <v>21.0156820939</v>
      </c>
      <c r="F83" s="62">
        <v>5000.0</v>
      </c>
      <c r="G83" s="71">
        <v>5000.0</v>
      </c>
      <c r="H83" s="71">
        <v>5000.0</v>
      </c>
      <c r="I83" s="64" t="s">
        <v>1092</v>
      </c>
      <c r="J83" s="62">
        <v>15000.0</v>
      </c>
      <c r="K83" s="62">
        <v>15000.0</v>
      </c>
      <c r="L83" s="62">
        <v>10000.0</v>
      </c>
      <c r="M83" s="62">
        <v>8000.0</v>
      </c>
      <c r="N83" s="62">
        <v>0.0</v>
      </c>
      <c r="O83" s="62">
        <v>0.0</v>
      </c>
      <c r="P83" s="62">
        <v>8000.0</v>
      </c>
      <c r="Q83" s="62">
        <v>16000.0</v>
      </c>
      <c r="R83" s="62">
        <v>6000.0</v>
      </c>
      <c r="S83" s="62">
        <v>5000.0</v>
      </c>
      <c r="T83" s="62">
        <v>0.0</v>
      </c>
      <c r="U83" s="62">
        <v>0.0</v>
      </c>
      <c r="V83" s="62">
        <v>3000.0</v>
      </c>
      <c r="W83" s="62">
        <v>15000.0</v>
      </c>
      <c r="X83" s="62">
        <v>11000.0</v>
      </c>
      <c r="Y83" s="62">
        <v>5000.0</v>
      </c>
      <c r="Z83" s="62">
        <v>0.0</v>
      </c>
      <c r="AA83" s="62">
        <v>3000.0</v>
      </c>
      <c r="AB83" s="62">
        <v>12000.0</v>
      </c>
      <c r="AC83" s="62">
        <v>12000.0</v>
      </c>
      <c r="AD83" s="62">
        <v>0.0</v>
      </c>
    </row>
    <row r="84" ht="22.5" customHeight="1">
      <c r="A84" s="62" t="s">
        <v>234</v>
      </c>
      <c r="B84" s="62" t="s">
        <v>1155</v>
      </c>
      <c r="C84" s="62" t="s">
        <v>1156</v>
      </c>
      <c r="D84" s="62">
        <v>2026.0</v>
      </c>
      <c r="E84" s="63">
        <v>18.753786413</v>
      </c>
      <c r="F84" s="62">
        <v>0.0</v>
      </c>
      <c r="G84" s="71">
        <v>0.0</v>
      </c>
      <c r="H84" s="71">
        <v>0.0</v>
      </c>
      <c r="I84" s="64" t="s">
        <v>1092</v>
      </c>
      <c r="J84" s="62">
        <v>3000.0</v>
      </c>
      <c r="K84" s="62">
        <v>2000.0</v>
      </c>
      <c r="L84" s="62">
        <v>0.0</v>
      </c>
      <c r="M84" s="62">
        <v>0.0</v>
      </c>
      <c r="N84" s="62">
        <v>0.0</v>
      </c>
      <c r="O84" s="62">
        <v>4000.0</v>
      </c>
      <c r="P84" s="62">
        <v>10000.0</v>
      </c>
      <c r="Q84" s="62">
        <v>10000.0</v>
      </c>
      <c r="R84" s="62">
        <v>3000.0</v>
      </c>
      <c r="S84" s="62">
        <v>0.0</v>
      </c>
      <c r="T84" s="62">
        <v>0.0</v>
      </c>
      <c r="U84" s="62">
        <v>3000.0</v>
      </c>
      <c r="V84" s="62">
        <v>5000.0</v>
      </c>
      <c r="W84" s="62">
        <v>6000.0</v>
      </c>
      <c r="X84" s="62">
        <v>8000.0</v>
      </c>
      <c r="Y84" s="62">
        <v>4000.0</v>
      </c>
      <c r="Z84" s="62">
        <v>0.0</v>
      </c>
      <c r="AA84" s="62">
        <v>0.0</v>
      </c>
      <c r="AB84" s="62">
        <v>0.0</v>
      </c>
      <c r="AC84" s="62">
        <v>0.0</v>
      </c>
      <c r="AD84" s="62">
        <v>0.0</v>
      </c>
    </row>
    <row r="85" ht="22.5" customHeight="1">
      <c r="A85" s="62" t="s">
        <v>234</v>
      </c>
      <c r="B85" s="62" t="s">
        <v>1170</v>
      </c>
      <c r="C85" s="62" t="s">
        <v>1171</v>
      </c>
      <c r="D85" s="62" t="s">
        <v>1163</v>
      </c>
      <c r="E85" s="63">
        <v>10.9539335449</v>
      </c>
      <c r="F85" s="62">
        <v>5000.0</v>
      </c>
      <c r="G85" s="71">
        <v>0.0</v>
      </c>
      <c r="H85" s="71">
        <v>0.0</v>
      </c>
      <c r="I85" s="64" t="s">
        <v>1092</v>
      </c>
      <c r="J85" s="62">
        <v>1500.0</v>
      </c>
      <c r="K85" s="62">
        <v>1000.0</v>
      </c>
      <c r="L85" s="62">
        <v>0.0</v>
      </c>
      <c r="M85" s="62">
        <v>0.0</v>
      </c>
      <c r="N85" s="62">
        <v>0.0</v>
      </c>
      <c r="O85" s="62">
        <v>2500.0</v>
      </c>
      <c r="P85" s="62">
        <v>2500.0</v>
      </c>
      <c r="Q85" s="62">
        <v>0.0</v>
      </c>
      <c r="R85" s="62">
        <v>0.0</v>
      </c>
      <c r="S85" s="62">
        <v>0.0</v>
      </c>
      <c r="T85" s="62">
        <v>0.0</v>
      </c>
      <c r="U85" s="62">
        <v>0.0</v>
      </c>
      <c r="V85" s="62">
        <v>1000.0</v>
      </c>
      <c r="W85" s="62">
        <v>0.0</v>
      </c>
      <c r="X85" s="62">
        <v>0.0</v>
      </c>
      <c r="Y85" s="62">
        <v>0.0</v>
      </c>
      <c r="Z85" s="62">
        <v>0.0</v>
      </c>
      <c r="AA85" s="62">
        <v>0.0</v>
      </c>
      <c r="AB85" s="62">
        <v>0.0</v>
      </c>
      <c r="AC85" s="62">
        <v>0.0</v>
      </c>
      <c r="AD85" s="62">
        <v>0.0</v>
      </c>
    </row>
    <row r="86" ht="22.5" customHeight="1">
      <c r="A86" s="62" t="s">
        <v>234</v>
      </c>
      <c r="B86" s="62" t="s">
        <v>1174</v>
      </c>
      <c r="C86" s="62" t="s">
        <v>1175</v>
      </c>
      <c r="D86" s="62" t="s">
        <v>1163</v>
      </c>
      <c r="E86" s="63">
        <v>4.64954341293</v>
      </c>
      <c r="F86" s="62">
        <v>5000.0</v>
      </c>
      <c r="G86" s="71">
        <v>1000.0</v>
      </c>
      <c r="H86" s="71">
        <v>0.0</v>
      </c>
      <c r="I86" s="64" t="s">
        <v>1092</v>
      </c>
      <c r="J86" s="62">
        <v>0.0</v>
      </c>
      <c r="K86" s="62">
        <v>0.0</v>
      </c>
      <c r="L86" s="62">
        <v>0.0</v>
      </c>
      <c r="M86" s="62">
        <v>0.0</v>
      </c>
      <c r="N86" s="62">
        <v>0.0</v>
      </c>
      <c r="O86" s="62">
        <v>2000.0</v>
      </c>
      <c r="P86" s="62">
        <v>2000.0</v>
      </c>
      <c r="Q86" s="62">
        <v>0.0</v>
      </c>
      <c r="R86" s="62">
        <v>0.0</v>
      </c>
      <c r="S86" s="62">
        <v>0.0</v>
      </c>
      <c r="T86" s="62">
        <v>0.0</v>
      </c>
      <c r="U86" s="62">
        <v>0.0</v>
      </c>
      <c r="V86" s="62">
        <v>0.0</v>
      </c>
      <c r="W86" s="62">
        <v>0.0</v>
      </c>
      <c r="X86" s="62">
        <v>0.0</v>
      </c>
      <c r="Y86" s="62">
        <v>0.0</v>
      </c>
      <c r="Z86" s="62">
        <v>0.0</v>
      </c>
      <c r="AA86" s="62">
        <v>0.0</v>
      </c>
      <c r="AB86" s="62">
        <v>0.0</v>
      </c>
      <c r="AC86" s="62">
        <v>0.0</v>
      </c>
      <c r="AD86" s="62">
        <v>0.0</v>
      </c>
    </row>
    <row r="87" ht="22.5" customHeight="1">
      <c r="A87" s="62" t="s">
        <v>116</v>
      </c>
      <c r="B87" s="62" t="s">
        <v>1190</v>
      </c>
      <c r="C87" s="62" t="s">
        <v>1191</v>
      </c>
      <c r="D87" s="62" t="s">
        <v>1163</v>
      </c>
      <c r="E87" s="63">
        <v>2.23781443696</v>
      </c>
      <c r="F87" s="62">
        <v>0.0</v>
      </c>
      <c r="G87" s="71">
        <v>0.0</v>
      </c>
      <c r="H87" s="71">
        <v>0.0</v>
      </c>
      <c r="I87" s="64" t="s">
        <v>1092</v>
      </c>
      <c r="J87" s="62">
        <v>0.0</v>
      </c>
      <c r="K87" s="62">
        <v>0.0</v>
      </c>
      <c r="L87" s="62">
        <v>0.0</v>
      </c>
      <c r="M87" s="62">
        <v>0.0</v>
      </c>
      <c r="N87" s="62">
        <v>0.0</v>
      </c>
      <c r="O87" s="62">
        <v>0.0</v>
      </c>
      <c r="P87" s="62">
        <v>0.0</v>
      </c>
      <c r="Q87" s="62">
        <v>0.0</v>
      </c>
      <c r="R87" s="62">
        <v>0.0</v>
      </c>
      <c r="S87" s="62">
        <v>0.0</v>
      </c>
      <c r="T87" s="62">
        <v>0.0</v>
      </c>
      <c r="U87" s="62">
        <v>0.0</v>
      </c>
      <c r="V87" s="62">
        <v>0.0</v>
      </c>
      <c r="W87" s="62">
        <v>0.0</v>
      </c>
      <c r="X87" s="62">
        <v>0.0</v>
      </c>
      <c r="Y87" s="62">
        <v>0.0</v>
      </c>
      <c r="Z87" s="62">
        <v>0.0</v>
      </c>
      <c r="AA87" s="62">
        <v>0.0</v>
      </c>
      <c r="AB87" s="62">
        <v>0.0</v>
      </c>
      <c r="AC87" s="62">
        <v>0.0</v>
      </c>
      <c r="AD87" s="62">
        <v>0.0</v>
      </c>
    </row>
    <row r="88" ht="22.5" customHeight="1">
      <c r="A88" s="62" t="s">
        <v>116</v>
      </c>
      <c r="B88" s="62" t="s">
        <v>1135</v>
      </c>
      <c r="C88" s="62" t="s">
        <v>1136</v>
      </c>
      <c r="D88" s="62">
        <v>2025.0</v>
      </c>
      <c r="E88" s="63">
        <v>9.37382988567</v>
      </c>
      <c r="F88" s="62">
        <v>0.0</v>
      </c>
      <c r="G88" s="71">
        <v>4000.0</v>
      </c>
      <c r="H88" s="71">
        <v>9000.0</v>
      </c>
      <c r="I88" s="64" t="s">
        <v>1092</v>
      </c>
      <c r="J88" s="62">
        <v>6000.0</v>
      </c>
      <c r="K88" s="62">
        <v>2000.0</v>
      </c>
      <c r="L88" s="62">
        <v>0.0</v>
      </c>
      <c r="M88" s="62">
        <v>5000.0</v>
      </c>
      <c r="N88" s="62">
        <v>6000.0</v>
      </c>
      <c r="O88" s="62">
        <v>2000.0</v>
      </c>
      <c r="P88" s="62">
        <v>0.0</v>
      </c>
      <c r="Q88" s="62">
        <v>1000.0</v>
      </c>
      <c r="R88" s="62">
        <v>2500.0</v>
      </c>
      <c r="S88" s="62">
        <v>6000.0</v>
      </c>
      <c r="T88" s="62">
        <v>2000.0</v>
      </c>
      <c r="U88" s="62">
        <v>1000.0</v>
      </c>
      <c r="V88" s="62">
        <v>5000.0</v>
      </c>
      <c r="W88" s="62">
        <v>6000.0</v>
      </c>
      <c r="X88" s="62">
        <v>3000.0</v>
      </c>
      <c r="Y88" s="62">
        <v>1000.0</v>
      </c>
      <c r="Z88" s="62">
        <v>0.0</v>
      </c>
      <c r="AA88" s="62">
        <v>0.0</v>
      </c>
      <c r="AB88" s="62">
        <v>0.0</v>
      </c>
      <c r="AC88" s="62">
        <v>0.0</v>
      </c>
      <c r="AD88" s="62">
        <v>0.0</v>
      </c>
    </row>
    <row r="89" ht="22.5" customHeight="1">
      <c r="A89" s="62" t="s">
        <v>116</v>
      </c>
      <c r="B89" s="62" t="s">
        <v>1121</v>
      </c>
      <c r="C89" s="62" t="s">
        <v>1122</v>
      </c>
      <c r="D89" s="62">
        <v>2023.0</v>
      </c>
      <c r="E89" s="63">
        <v>14.3065187754</v>
      </c>
      <c r="F89" s="62">
        <v>0.0</v>
      </c>
      <c r="G89" s="71">
        <v>0.0</v>
      </c>
      <c r="H89" s="71">
        <v>7000.0</v>
      </c>
      <c r="I89" s="64" t="s">
        <v>1092</v>
      </c>
      <c r="J89" s="62">
        <v>10000.0</v>
      </c>
      <c r="K89" s="62">
        <v>2000.0</v>
      </c>
      <c r="L89" s="62">
        <v>0.0</v>
      </c>
      <c r="M89" s="62">
        <v>8000.0</v>
      </c>
      <c r="N89" s="62">
        <v>5000.0</v>
      </c>
      <c r="O89" s="62">
        <v>2000.0</v>
      </c>
      <c r="P89" s="62">
        <v>0.0</v>
      </c>
      <c r="Q89" s="62">
        <v>0.0</v>
      </c>
      <c r="R89" s="62">
        <v>0.0</v>
      </c>
      <c r="S89" s="62">
        <v>7000.0</v>
      </c>
      <c r="T89" s="62">
        <v>5000.0</v>
      </c>
      <c r="U89" s="62">
        <v>4500.0</v>
      </c>
      <c r="V89" s="62">
        <v>2000.0</v>
      </c>
      <c r="W89" s="62">
        <v>5000.0</v>
      </c>
      <c r="X89" s="62">
        <v>0.0</v>
      </c>
      <c r="Y89" s="62">
        <v>0.0</v>
      </c>
      <c r="Z89" s="62">
        <v>0.0</v>
      </c>
      <c r="AA89" s="62">
        <v>4200.0</v>
      </c>
      <c r="AB89" s="62">
        <v>6000.0</v>
      </c>
      <c r="AC89" s="62">
        <v>3000.0</v>
      </c>
      <c r="AD89" s="62">
        <v>0.0</v>
      </c>
    </row>
    <row r="90" ht="22.5" customHeight="1">
      <c r="A90" s="62" t="s">
        <v>234</v>
      </c>
      <c r="B90" s="62" t="s">
        <v>1153</v>
      </c>
      <c r="C90" s="62" t="s">
        <v>1154</v>
      </c>
      <c r="D90" s="62">
        <v>2026.0</v>
      </c>
      <c r="E90" s="63">
        <v>21.8680151198</v>
      </c>
      <c r="F90" s="62">
        <v>1000.0</v>
      </c>
      <c r="G90" s="71">
        <v>0.0</v>
      </c>
      <c r="H90" s="71">
        <v>25000.0</v>
      </c>
      <c r="I90" s="64" t="s">
        <v>1092</v>
      </c>
      <c r="J90" s="62">
        <v>9000.0</v>
      </c>
      <c r="K90" s="62">
        <v>0.0</v>
      </c>
      <c r="L90" s="62">
        <v>0.0</v>
      </c>
      <c r="M90" s="62">
        <v>10000.0</v>
      </c>
      <c r="N90" s="62">
        <v>8000.0</v>
      </c>
      <c r="O90" s="62">
        <v>2000.0</v>
      </c>
      <c r="P90" s="62">
        <v>0.0</v>
      </c>
      <c r="Q90" s="62">
        <v>5000.0</v>
      </c>
      <c r="R90" s="62">
        <v>5000.0</v>
      </c>
      <c r="S90" s="62">
        <v>5000.0</v>
      </c>
      <c r="T90" s="62">
        <v>2000.0</v>
      </c>
      <c r="U90" s="62">
        <v>3000.0</v>
      </c>
      <c r="V90" s="62">
        <v>8000.0</v>
      </c>
      <c r="W90" s="62">
        <v>12000.0</v>
      </c>
      <c r="X90" s="62">
        <v>0.0</v>
      </c>
      <c r="Y90" s="62">
        <v>0.0</v>
      </c>
      <c r="Z90" s="62">
        <v>0.0</v>
      </c>
      <c r="AA90" s="62">
        <v>0.0</v>
      </c>
      <c r="AB90" s="62">
        <v>0.0</v>
      </c>
      <c r="AC90" s="62">
        <v>0.0</v>
      </c>
      <c r="AD90" s="62">
        <v>0.0</v>
      </c>
    </row>
    <row r="91" ht="22.5" customHeight="1">
      <c r="A91" s="62" t="s">
        <v>95</v>
      </c>
      <c r="B91" s="62" t="s">
        <v>1131</v>
      </c>
      <c r="C91" s="62" t="s">
        <v>1132</v>
      </c>
      <c r="D91" s="62">
        <v>2025.0</v>
      </c>
      <c r="E91" s="63">
        <v>27.6824254054</v>
      </c>
      <c r="F91" s="62">
        <v>0.0</v>
      </c>
      <c r="G91" s="71">
        <v>6000.0</v>
      </c>
      <c r="H91" s="71">
        <v>8000.0</v>
      </c>
      <c r="I91" s="64" t="s">
        <v>1092</v>
      </c>
      <c r="J91" s="62">
        <v>0.0</v>
      </c>
      <c r="K91" s="62">
        <v>15000.0</v>
      </c>
      <c r="L91" s="62">
        <v>15000.0</v>
      </c>
      <c r="M91" s="62">
        <v>15000.0</v>
      </c>
      <c r="N91" s="62">
        <v>8000.0</v>
      </c>
      <c r="O91" s="62">
        <v>0.0</v>
      </c>
      <c r="P91" s="62">
        <v>0.0</v>
      </c>
      <c r="Q91" s="62">
        <v>3000.0</v>
      </c>
      <c r="R91" s="62">
        <v>6000.0</v>
      </c>
      <c r="S91" s="62">
        <v>12000.0</v>
      </c>
      <c r="T91" s="62">
        <v>8000.0</v>
      </c>
      <c r="U91" s="62">
        <v>0.0</v>
      </c>
      <c r="V91" s="62">
        <v>3000.0</v>
      </c>
      <c r="W91" s="62">
        <v>12000.0</v>
      </c>
      <c r="X91" s="62">
        <v>18000.0</v>
      </c>
      <c r="Y91" s="62">
        <v>9000.0</v>
      </c>
      <c r="Z91" s="62">
        <v>0.0</v>
      </c>
      <c r="AA91" s="62">
        <v>0.0</v>
      </c>
      <c r="AB91" s="62">
        <v>0.0</v>
      </c>
      <c r="AC91" s="62">
        <v>0.0</v>
      </c>
      <c r="AD91" s="62">
        <v>0.0</v>
      </c>
    </row>
    <row r="92" ht="22.5" customHeight="1">
      <c r="A92" s="62" t="s">
        <v>234</v>
      </c>
      <c r="B92" s="62" t="s">
        <v>1159</v>
      </c>
      <c r="C92" s="62" t="s">
        <v>1160</v>
      </c>
      <c r="D92" s="62">
        <v>2027.0</v>
      </c>
      <c r="E92" s="63">
        <v>66.6681395928</v>
      </c>
      <c r="F92" s="62">
        <v>0.0</v>
      </c>
      <c r="G92" s="71">
        <v>0.0</v>
      </c>
      <c r="H92" s="71">
        <v>0.0</v>
      </c>
      <c r="I92" s="64" t="s">
        <v>1092</v>
      </c>
      <c r="J92" s="62">
        <v>0.0</v>
      </c>
      <c r="K92" s="62">
        <v>0.0</v>
      </c>
      <c r="L92" s="62">
        <v>0.0</v>
      </c>
      <c r="M92" s="62">
        <v>0.0</v>
      </c>
      <c r="N92" s="62">
        <v>0.0</v>
      </c>
      <c r="O92" s="62">
        <v>10000.0</v>
      </c>
      <c r="P92" s="62">
        <v>25000.0</v>
      </c>
      <c r="Q92" s="62">
        <v>15000.0</v>
      </c>
      <c r="R92" s="62">
        <v>0.0</v>
      </c>
      <c r="S92" s="62">
        <v>0.0</v>
      </c>
      <c r="T92" s="62">
        <v>0.0</v>
      </c>
      <c r="U92" s="62">
        <v>0.0</v>
      </c>
      <c r="V92" s="62">
        <v>10000.0</v>
      </c>
      <c r="W92" s="62">
        <v>10000.0</v>
      </c>
      <c r="X92" s="62">
        <v>20000.0</v>
      </c>
      <c r="Y92" s="62">
        <v>15000.0</v>
      </c>
      <c r="Z92" s="62">
        <v>12000.0</v>
      </c>
      <c r="AA92" s="62">
        <v>0.0</v>
      </c>
      <c r="AB92" s="62">
        <v>0.0</v>
      </c>
      <c r="AC92" s="62">
        <v>0.0</v>
      </c>
      <c r="AD92" s="62">
        <v>0.0</v>
      </c>
    </row>
    <row r="93" ht="22.5" customHeight="1">
      <c r="A93" s="62" t="s">
        <v>95</v>
      </c>
      <c r="B93" s="62" t="s">
        <v>1103</v>
      </c>
      <c r="C93" s="62" t="s">
        <v>1104</v>
      </c>
      <c r="D93" s="62">
        <v>2022.0</v>
      </c>
      <c r="E93" s="63">
        <v>16.8565995196</v>
      </c>
      <c r="F93" s="62">
        <v>3000.0</v>
      </c>
      <c r="G93" s="71">
        <v>3000.0</v>
      </c>
      <c r="H93" s="71">
        <v>0.0</v>
      </c>
      <c r="I93" s="64" t="s">
        <v>1092</v>
      </c>
      <c r="J93" s="62">
        <v>0.0</v>
      </c>
      <c r="K93" s="62">
        <v>0.0</v>
      </c>
      <c r="L93" s="62">
        <v>0.0</v>
      </c>
      <c r="M93" s="62">
        <v>0.0</v>
      </c>
      <c r="N93" s="62">
        <v>0.0</v>
      </c>
      <c r="O93" s="62">
        <v>0.0</v>
      </c>
      <c r="P93" s="62">
        <v>0.0</v>
      </c>
      <c r="Q93" s="62">
        <v>6000.0</v>
      </c>
      <c r="R93" s="62">
        <v>5000.0</v>
      </c>
      <c r="S93" s="62">
        <v>7000.0</v>
      </c>
      <c r="T93" s="62">
        <v>3000.0</v>
      </c>
      <c r="U93" s="62">
        <v>1000.0</v>
      </c>
      <c r="V93" s="62">
        <v>6000.0</v>
      </c>
      <c r="W93" s="62">
        <v>12000.0</v>
      </c>
      <c r="X93" s="62">
        <v>0.0</v>
      </c>
      <c r="Y93" s="62">
        <v>0.0</v>
      </c>
      <c r="Z93" s="62">
        <v>7000.0</v>
      </c>
      <c r="AA93" s="62">
        <v>5000.0</v>
      </c>
      <c r="AB93" s="62">
        <v>2000.0</v>
      </c>
      <c r="AC93" s="62">
        <v>0.0</v>
      </c>
      <c r="AD93" s="62">
        <v>0.0</v>
      </c>
    </row>
    <row r="94" ht="22.5" customHeight="1">
      <c r="A94" s="62" t="s">
        <v>95</v>
      </c>
      <c r="B94" s="62" t="s">
        <v>1117</v>
      </c>
      <c r="C94" s="62" t="s">
        <v>1118</v>
      </c>
      <c r="D94" s="62">
        <v>2023.0</v>
      </c>
      <c r="E94" s="63">
        <v>20.6444992475</v>
      </c>
      <c r="F94" s="62">
        <v>12000.0</v>
      </c>
      <c r="G94" s="71">
        <v>8000.0</v>
      </c>
      <c r="H94" s="71">
        <v>7000.0</v>
      </c>
      <c r="I94" s="64" t="s">
        <v>1092</v>
      </c>
      <c r="J94" s="62">
        <v>16000.0</v>
      </c>
      <c r="K94" s="62">
        <v>10000.0</v>
      </c>
      <c r="L94" s="62">
        <v>7000.0</v>
      </c>
      <c r="M94" s="62">
        <v>10000.0</v>
      </c>
      <c r="N94" s="62">
        <v>5000.0</v>
      </c>
      <c r="O94" s="62">
        <v>0.0</v>
      </c>
      <c r="P94" s="62">
        <v>0.0</v>
      </c>
      <c r="Q94" s="62">
        <v>8000.0</v>
      </c>
      <c r="R94" s="62">
        <v>8000.0</v>
      </c>
      <c r="S94" s="62">
        <v>5000.0</v>
      </c>
      <c r="T94" s="62">
        <v>3000.0</v>
      </c>
      <c r="U94" s="62">
        <v>3000.0</v>
      </c>
      <c r="V94" s="62">
        <v>8000.0</v>
      </c>
      <c r="W94" s="62">
        <v>12000.0</v>
      </c>
      <c r="X94" s="62">
        <v>8000.0</v>
      </c>
      <c r="Y94" s="62">
        <v>0.0</v>
      </c>
      <c r="Z94" s="62">
        <v>0.0</v>
      </c>
      <c r="AA94" s="62">
        <v>8000.0</v>
      </c>
      <c r="AB94" s="62">
        <v>5000.0</v>
      </c>
      <c r="AC94" s="62">
        <v>5000.0</v>
      </c>
      <c r="AD94" s="62">
        <v>0.0</v>
      </c>
    </row>
    <row r="95" ht="22.5" customHeight="1">
      <c r="A95" s="62" t="s">
        <v>246</v>
      </c>
      <c r="B95" s="62" t="s">
        <v>1123</v>
      </c>
      <c r="C95" s="62" t="s">
        <v>1143</v>
      </c>
      <c r="D95" s="62">
        <v>2026.0</v>
      </c>
      <c r="E95" s="63">
        <v>34.1928592778</v>
      </c>
      <c r="F95" s="62">
        <v>0.0</v>
      </c>
      <c r="G95" s="71">
        <v>0.0</v>
      </c>
      <c r="H95" s="71">
        <v>0.0</v>
      </c>
      <c r="I95" s="64" t="s">
        <v>1092</v>
      </c>
      <c r="J95" s="62">
        <v>0.0</v>
      </c>
      <c r="K95" s="62">
        <v>0.0</v>
      </c>
      <c r="L95" s="62">
        <v>0.0</v>
      </c>
      <c r="M95" s="62">
        <v>0.0</v>
      </c>
      <c r="N95" s="62">
        <v>0.0</v>
      </c>
      <c r="O95" s="62">
        <v>0.0</v>
      </c>
      <c r="P95" s="62">
        <v>0.0</v>
      </c>
      <c r="Q95" s="62">
        <v>0.0</v>
      </c>
      <c r="R95" s="62">
        <v>0.0</v>
      </c>
      <c r="S95" s="62">
        <v>13000.0</v>
      </c>
      <c r="T95" s="62">
        <v>6000.0</v>
      </c>
      <c r="U95" s="62">
        <v>10000.0</v>
      </c>
      <c r="V95" s="62">
        <v>4000.0</v>
      </c>
      <c r="W95" s="62">
        <v>0.0</v>
      </c>
      <c r="X95" s="62">
        <v>2000.0</v>
      </c>
      <c r="Y95" s="62">
        <v>6000.0</v>
      </c>
      <c r="Z95" s="62">
        <v>7500.0</v>
      </c>
      <c r="AA95" s="62">
        <v>10000.0</v>
      </c>
      <c r="AB95" s="62">
        <v>0.0</v>
      </c>
      <c r="AC95" s="62">
        <v>5000.0</v>
      </c>
      <c r="AD95" s="62">
        <v>20000.0</v>
      </c>
    </row>
    <row r="96" ht="22.5" customHeight="1">
      <c r="A96" s="62" t="s">
        <v>246</v>
      </c>
      <c r="B96" s="62" t="s">
        <v>1113</v>
      </c>
      <c r="C96" s="62" t="s">
        <v>1114</v>
      </c>
      <c r="D96" s="62">
        <v>2023.0</v>
      </c>
      <c r="E96" s="63">
        <v>42.8989254987</v>
      </c>
      <c r="F96" s="62">
        <v>0.0</v>
      </c>
      <c r="G96" s="71">
        <v>0.0</v>
      </c>
      <c r="H96" s="71">
        <v>0.0</v>
      </c>
      <c r="I96" s="64" t="s">
        <v>1092</v>
      </c>
      <c r="J96" s="62">
        <v>12000.0</v>
      </c>
      <c r="K96" s="62">
        <v>10000.0</v>
      </c>
      <c r="L96" s="62">
        <v>5000.0</v>
      </c>
      <c r="M96" s="62">
        <v>4000.0</v>
      </c>
      <c r="N96" s="62">
        <v>0.0</v>
      </c>
      <c r="O96" s="62">
        <v>0.0</v>
      </c>
      <c r="P96" s="62">
        <v>0.0</v>
      </c>
      <c r="Q96" s="62">
        <v>0.0</v>
      </c>
      <c r="R96" s="62">
        <v>0.0</v>
      </c>
      <c r="S96" s="62">
        <v>25000.0</v>
      </c>
      <c r="T96" s="62">
        <v>12000.0</v>
      </c>
      <c r="U96" s="62">
        <v>20000.0</v>
      </c>
      <c r="V96" s="62">
        <v>8000.0</v>
      </c>
      <c r="W96" s="62">
        <v>0.0</v>
      </c>
      <c r="X96" s="62">
        <v>0.0</v>
      </c>
      <c r="Y96" s="62">
        <v>0.0</v>
      </c>
      <c r="Z96" s="62">
        <v>0.0</v>
      </c>
      <c r="AA96" s="62">
        <v>0.0</v>
      </c>
      <c r="AB96" s="62">
        <v>12000.0</v>
      </c>
      <c r="AC96" s="62">
        <v>0.0</v>
      </c>
      <c r="AD96" s="62">
        <v>0.0</v>
      </c>
    </row>
    <row r="97" ht="22.5" customHeight="1">
      <c r="A97" s="62" t="s">
        <v>246</v>
      </c>
      <c r="B97" s="62" t="s">
        <v>1090</v>
      </c>
      <c r="C97" s="62" t="s">
        <v>1091</v>
      </c>
      <c r="D97" s="62">
        <v>2021.0</v>
      </c>
      <c r="E97" s="63">
        <v>22.9580921452</v>
      </c>
      <c r="F97" s="62">
        <v>0.0</v>
      </c>
      <c r="G97" s="71">
        <v>0.0</v>
      </c>
      <c r="H97" s="71">
        <v>0.0</v>
      </c>
      <c r="I97" s="64" t="s">
        <v>1092</v>
      </c>
      <c r="J97" s="62">
        <v>6000.0</v>
      </c>
      <c r="K97" s="62">
        <v>8000.0</v>
      </c>
      <c r="L97" s="62">
        <v>7000.0</v>
      </c>
      <c r="M97" s="62">
        <v>3000.0</v>
      </c>
      <c r="N97" s="62">
        <v>0.0</v>
      </c>
      <c r="O97" s="62">
        <v>0.0</v>
      </c>
      <c r="P97" s="62">
        <v>0.0</v>
      </c>
      <c r="Q97" s="62">
        <v>12000.0</v>
      </c>
      <c r="R97" s="62">
        <v>0.0</v>
      </c>
      <c r="S97" s="62">
        <v>12000.0</v>
      </c>
      <c r="T97" s="62">
        <v>10000.0</v>
      </c>
      <c r="U97" s="62">
        <v>8000.0</v>
      </c>
      <c r="V97" s="62">
        <v>6000.0</v>
      </c>
      <c r="W97" s="62">
        <v>0.0</v>
      </c>
      <c r="X97" s="62">
        <v>2000.0</v>
      </c>
      <c r="Y97" s="62">
        <v>4000.0</v>
      </c>
      <c r="Z97" s="62">
        <v>4000.0</v>
      </c>
      <c r="AA97" s="62">
        <v>4000.0</v>
      </c>
      <c r="AB97" s="62">
        <v>4000.0</v>
      </c>
      <c r="AC97" s="62">
        <v>0.0</v>
      </c>
      <c r="AD97" s="62">
        <v>0.0</v>
      </c>
    </row>
    <row r="98" ht="22.5" customHeight="1">
      <c r="A98" s="62" t="s">
        <v>246</v>
      </c>
      <c r="B98" s="62" t="s">
        <v>1164</v>
      </c>
      <c r="C98" s="62" t="s">
        <v>1165</v>
      </c>
      <c r="D98" s="62" t="s">
        <v>1163</v>
      </c>
      <c r="E98" s="63">
        <v>15.4976133198</v>
      </c>
      <c r="F98" s="62">
        <v>0.0</v>
      </c>
      <c r="G98" s="71">
        <v>0.0</v>
      </c>
      <c r="H98" s="71">
        <v>0.0</v>
      </c>
      <c r="I98" s="64" t="s">
        <v>1092</v>
      </c>
      <c r="J98" s="62">
        <v>6000.0</v>
      </c>
      <c r="K98" s="62">
        <v>8000.0</v>
      </c>
      <c r="L98" s="62">
        <v>7000.0</v>
      </c>
      <c r="M98" s="62">
        <v>3000.0</v>
      </c>
      <c r="N98" s="62">
        <v>0.0</v>
      </c>
      <c r="O98" s="62">
        <v>0.0</v>
      </c>
      <c r="P98" s="62">
        <v>0.0</v>
      </c>
      <c r="Q98" s="62">
        <v>0.0</v>
      </c>
      <c r="R98" s="62">
        <v>0.0</v>
      </c>
      <c r="S98" s="62">
        <v>10000.0</v>
      </c>
      <c r="T98" s="62">
        <v>2000.0</v>
      </c>
      <c r="U98" s="62">
        <v>0.0</v>
      </c>
      <c r="V98" s="62">
        <v>0.0</v>
      </c>
      <c r="W98" s="62">
        <v>0.0</v>
      </c>
      <c r="X98" s="62">
        <v>0.0</v>
      </c>
      <c r="Y98" s="62">
        <v>0.0</v>
      </c>
      <c r="Z98" s="62">
        <v>0.0</v>
      </c>
      <c r="AA98" s="62">
        <v>0.0</v>
      </c>
      <c r="AB98" s="62">
        <v>0.0</v>
      </c>
      <c r="AC98" s="62">
        <v>0.0</v>
      </c>
      <c r="AD98" s="62">
        <v>0.0</v>
      </c>
    </row>
    <row r="99" ht="22.5" customHeight="1">
      <c r="A99" s="62" t="s">
        <v>246</v>
      </c>
      <c r="B99" s="62" t="s">
        <v>1144</v>
      </c>
      <c r="C99" s="62" t="s">
        <v>1145</v>
      </c>
      <c r="D99" s="62">
        <v>2026.0</v>
      </c>
      <c r="E99" s="63">
        <v>35.3952011094</v>
      </c>
      <c r="F99" s="62">
        <v>0.0</v>
      </c>
      <c r="G99" s="71">
        <v>0.0</v>
      </c>
      <c r="H99" s="71">
        <v>0.0</v>
      </c>
      <c r="I99" s="64" t="s">
        <v>1092</v>
      </c>
      <c r="J99" s="62">
        <v>12000.0</v>
      </c>
      <c r="K99" s="62">
        <v>10000.0</v>
      </c>
      <c r="L99" s="62">
        <v>5000.0</v>
      </c>
      <c r="M99" s="62">
        <v>4000.0</v>
      </c>
      <c r="N99" s="62">
        <v>0.0</v>
      </c>
      <c r="O99" s="62">
        <v>0.0</v>
      </c>
      <c r="P99" s="62">
        <v>0.0</v>
      </c>
      <c r="Q99" s="62">
        <v>0.0</v>
      </c>
      <c r="R99" s="62">
        <v>0.0</v>
      </c>
      <c r="S99" s="62">
        <v>0.0</v>
      </c>
      <c r="T99" s="62">
        <v>0.0</v>
      </c>
      <c r="U99" s="62">
        <v>7000.0</v>
      </c>
      <c r="V99" s="62">
        <v>8000.0</v>
      </c>
      <c r="W99" s="62">
        <v>5000.0</v>
      </c>
      <c r="X99" s="62">
        <v>0.0</v>
      </c>
      <c r="Y99" s="62">
        <v>0.0</v>
      </c>
      <c r="Z99" s="62">
        <v>0.0</v>
      </c>
      <c r="AA99" s="62">
        <v>0.0</v>
      </c>
      <c r="AB99" s="62">
        <v>0.0</v>
      </c>
      <c r="AC99" s="62">
        <v>0.0</v>
      </c>
      <c r="AD99" s="62">
        <v>0.0</v>
      </c>
    </row>
    <row r="100" ht="22.5" customHeight="1">
      <c r="A100" s="62" t="s">
        <v>246</v>
      </c>
      <c r="B100" s="62" t="s">
        <v>1097</v>
      </c>
      <c r="C100" s="62" t="s">
        <v>1098</v>
      </c>
      <c r="D100" s="62">
        <v>2022.0</v>
      </c>
      <c r="E100" s="63">
        <v>17.0329955136</v>
      </c>
      <c r="F100" s="62">
        <v>0.0</v>
      </c>
      <c r="G100" s="71">
        <v>0.0</v>
      </c>
      <c r="H100" s="71">
        <v>9000.0</v>
      </c>
      <c r="I100" s="64" t="s">
        <v>1092</v>
      </c>
      <c r="J100" s="62">
        <v>9000.0</v>
      </c>
      <c r="K100" s="62">
        <v>5000.0</v>
      </c>
      <c r="L100" s="62">
        <v>0.0</v>
      </c>
      <c r="M100" s="62">
        <v>0.0</v>
      </c>
      <c r="N100" s="62">
        <v>0.0</v>
      </c>
      <c r="O100" s="62">
        <v>0.0</v>
      </c>
      <c r="P100" s="62">
        <v>5000.0</v>
      </c>
      <c r="Q100" s="62">
        <v>2000.0</v>
      </c>
      <c r="R100" s="62">
        <v>12000.0</v>
      </c>
      <c r="S100" s="62">
        <v>17300.0</v>
      </c>
      <c r="T100" s="62">
        <v>4000.0</v>
      </c>
      <c r="U100" s="62">
        <v>5000.0</v>
      </c>
      <c r="V100" s="62">
        <v>0.0</v>
      </c>
      <c r="W100" s="62">
        <v>0.0</v>
      </c>
      <c r="X100" s="62">
        <v>0.0</v>
      </c>
      <c r="Y100" s="62">
        <v>0.0</v>
      </c>
      <c r="Z100" s="62">
        <v>7500.0</v>
      </c>
      <c r="AA100" s="62">
        <v>8000.0</v>
      </c>
      <c r="AB100" s="62">
        <v>8000.0</v>
      </c>
      <c r="AC100" s="62">
        <v>0.0</v>
      </c>
      <c r="AD100" s="62">
        <v>0.0</v>
      </c>
    </row>
    <row r="101" ht="22.5" customHeight="1">
      <c r="A101" s="62" t="s">
        <v>116</v>
      </c>
      <c r="B101" s="62" t="s">
        <v>1192</v>
      </c>
      <c r="C101" s="62" t="s">
        <v>1193</v>
      </c>
      <c r="D101" s="62" t="s">
        <v>1163</v>
      </c>
      <c r="E101" s="63">
        <v>5.94360357263</v>
      </c>
      <c r="F101" s="62">
        <v>0.0</v>
      </c>
      <c r="G101" s="71">
        <v>4000.0</v>
      </c>
      <c r="H101" s="71">
        <v>6000.0</v>
      </c>
      <c r="I101" s="64" t="s">
        <v>1092</v>
      </c>
      <c r="J101" s="62">
        <v>6000.0</v>
      </c>
      <c r="K101" s="62">
        <v>2000.0</v>
      </c>
      <c r="L101" s="62">
        <v>0.0</v>
      </c>
      <c r="M101" s="62">
        <v>0.0</v>
      </c>
      <c r="N101" s="62">
        <v>0.0</v>
      </c>
      <c r="O101" s="62">
        <v>0.0</v>
      </c>
      <c r="P101" s="62">
        <v>0.0</v>
      </c>
      <c r="Q101" s="62">
        <v>0.0</v>
      </c>
      <c r="R101" s="62">
        <v>3500.0</v>
      </c>
      <c r="S101" s="62">
        <v>1500.0</v>
      </c>
      <c r="T101" s="62">
        <v>3000.0</v>
      </c>
      <c r="U101" s="62">
        <v>4500.0</v>
      </c>
      <c r="V101" s="62">
        <v>4000.0</v>
      </c>
      <c r="W101" s="62">
        <v>2500.0</v>
      </c>
      <c r="X101" s="62">
        <v>0.0</v>
      </c>
      <c r="Y101" s="62">
        <v>0.0</v>
      </c>
      <c r="Z101" s="62">
        <v>0.0</v>
      </c>
      <c r="AA101" s="62">
        <v>0.0</v>
      </c>
      <c r="AB101" s="62">
        <v>0.0</v>
      </c>
      <c r="AC101" s="62">
        <v>0.0</v>
      </c>
      <c r="AD101" s="62">
        <v>0.0</v>
      </c>
    </row>
    <row r="102" ht="22.5" customHeight="1">
      <c r="A102" s="62" t="s">
        <v>116</v>
      </c>
      <c r="B102" s="62" t="s">
        <v>1188</v>
      </c>
      <c r="C102" s="62" t="s">
        <v>1189</v>
      </c>
      <c r="D102" s="62" t="s">
        <v>1163</v>
      </c>
      <c r="E102" s="63">
        <v>14.2735043351</v>
      </c>
      <c r="F102" s="62">
        <v>0.0</v>
      </c>
      <c r="G102" s="71">
        <v>4000.0</v>
      </c>
      <c r="H102" s="71">
        <v>6000.0</v>
      </c>
      <c r="I102" s="64" t="s">
        <v>1092</v>
      </c>
      <c r="J102" s="62">
        <v>6000.0</v>
      </c>
      <c r="K102" s="62">
        <v>2000.0</v>
      </c>
      <c r="L102" s="62">
        <v>0.0</v>
      </c>
      <c r="M102" s="62">
        <v>0.0</v>
      </c>
      <c r="N102" s="62">
        <v>0.0</v>
      </c>
      <c r="O102" s="62">
        <v>0.0</v>
      </c>
      <c r="P102" s="62">
        <v>0.0</v>
      </c>
      <c r="Q102" s="62">
        <v>1000.0</v>
      </c>
      <c r="R102" s="62">
        <v>3500.0</v>
      </c>
      <c r="S102" s="62">
        <v>8000.0</v>
      </c>
      <c r="T102" s="62">
        <v>3000.0</v>
      </c>
      <c r="U102" s="62">
        <v>2000.0</v>
      </c>
      <c r="V102" s="62">
        <v>0.0</v>
      </c>
      <c r="W102" s="62">
        <v>2500.0</v>
      </c>
      <c r="X102" s="62">
        <v>0.0</v>
      </c>
      <c r="Y102" s="62">
        <v>0.0</v>
      </c>
      <c r="Z102" s="62">
        <v>0.0</v>
      </c>
      <c r="AA102" s="62">
        <v>0.0</v>
      </c>
      <c r="AB102" s="62">
        <v>0.0</v>
      </c>
      <c r="AC102" s="62">
        <v>0.0</v>
      </c>
      <c r="AD102" s="62">
        <v>0.0</v>
      </c>
    </row>
    <row r="103" ht="22.5" customHeight="1">
      <c r="A103" s="62" t="s">
        <v>116</v>
      </c>
      <c r="B103" s="62" t="s">
        <v>1194</v>
      </c>
      <c r="C103" s="62" t="s">
        <v>1195</v>
      </c>
      <c r="D103" s="62" t="s">
        <v>1163</v>
      </c>
      <c r="E103" s="63">
        <v>3.03126572495</v>
      </c>
      <c r="F103" s="62">
        <v>0.0</v>
      </c>
      <c r="G103" s="71">
        <v>4000.0</v>
      </c>
      <c r="H103" s="71">
        <v>6000.0</v>
      </c>
      <c r="I103" s="64" t="s">
        <v>1092</v>
      </c>
      <c r="J103" s="62">
        <v>6000.0</v>
      </c>
      <c r="K103" s="62">
        <v>2000.0</v>
      </c>
      <c r="L103" s="62">
        <v>0.0</v>
      </c>
      <c r="M103" s="62">
        <v>0.0</v>
      </c>
      <c r="N103" s="62">
        <v>0.0</v>
      </c>
      <c r="O103" s="62">
        <v>0.0</v>
      </c>
      <c r="P103" s="62">
        <v>0.0</v>
      </c>
      <c r="Q103" s="62">
        <v>1000.0</v>
      </c>
      <c r="R103" s="62">
        <v>0.0</v>
      </c>
      <c r="S103" s="62">
        <v>1000.0</v>
      </c>
      <c r="T103" s="62">
        <v>0.0</v>
      </c>
      <c r="U103" s="62">
        <v>0.0</v>
      </c>
      <c r="V103" s="62">
        <v>0.0</v>
      </c>
      <c r="W103" s="62">
        <v>0.0</v>
      </c>
      <c r="X103" s="62">
        <v>0.0</v>
      </c>
      <c r="Y103" s="62">
        <v>0.0</v>
      </c>
      <c r="Z103" s="62">
        <v>0.0</v>
      </c>
      <c r="AA103" s="62">
        <v>0.0</v>
      </c>
      <c r="AB103" s="62">
        <v>0.0</v>
      </c>
      <c r="AC103" s="62">
        <v>0.0</v>
      </c>
      <c r="AD103" s="62">
        <v>0.0</v>
      </c>
    </row>
    <row r="104" ht="22.5" customHeight="1">
      <c r="A104" s="62" t="s">
        <v>234</v>
      </c>
      <c r="B104" s="62" t="s">
        <v>1176</v>
      </c>
      <c r="C104" s="62" t="s">
        <v>1177</v>
      </c>
      <c r="D104" s="62" t="s">
        <v>1163</v>
      </c>
      <c r="E104" s="63">
        <v>7.61309912288</v>
      </c>
      <c r="F104" s="62">
        <v>0.0</v>
      </c>
      <c r="G104" s="71">
        <v>3000.0</v>
      </c>
      <c r="H104" s="71">
        <v>3000.0</v>
      </c>
      <c r="I104" s="64" t="s">
        <v>1092</v>
      </c>
      <c r="J104" s="62">
        <v>1000.0</v>
      </c>
      <c r="K104" s="62">
        <v>0.0</v>
      </c>
      <c r="L104" s="62">
        <v>0.0</v>
      </c>
      <c r="M104" s="62">
        <v>0.0</v>
      </c>
      <c r="N104" s="62">
        <v>0.0</v>
      </c>
      <c r="O104" s="62">
        <v>1500.0</v>
      </c>
      <c r="P104" s="62">
        <v>2500.0</v>
      </c>
      <c r="Q104" s="62">
        <v>5000.0</v>
      </c>
      <c r="R104" s="62">
        <v>0.0</v>
      </c>
      <c r="S104" s="62">
        <v>4000.0</v>
      </c>
      <c r="T104" s="62">
        <v>1000.0</v>
      </c>
      <c r="U104" s="62">
        <v>1500.0</v>
      </c>
      <c r="V104" s="62">
        <v>1500.0</v>
      </c>
      <c r="W104" s="62">
        <v>0.0</v>
      </c>
      <c r="X104" s="62">
        <v>0.0</v>
      </c>
      <c r="Y104" s="62">
        <v>0.0</v>
      </c>
      <c r="Z104" s="62">
        <v>0.0</v>
      </c>
      <c r="AA104" s="62">
        <v>0.0</v>
      </c>
      <c r="AB104" s="62">
        <v>0.0</v>
      </c>
      <c r="AC104" s="62">
        <v>0.0</v>
      </c>
      <c r="AD104" s="62">
        <v>0.0</v>
      </c>
    </row>
    <row r="105" ht="22.5" customHeight="1">
      <c r="A105" s="62" t="s">
        <v>234</v>
      </c>
      <c r="B105" s="62" t="s">
        <v>1178</v>
      </c>
      <c r="C105" s="62" t="s">
        <v>1179</v>
      </c>
      <c r="D105" s="62" t="s">
        <v>1163</v>
      </c>
      <c r="E105" s="63">
        <v>1.22864749961</v>
      </c>
      <c r="F105" s="62">
        <v>0.0</v>
      </c>
      <c r="G105" s="71">
        <v>3000.0</v>
      </c>
      <c r="H105" s="71">
        <v>3000.0</v>
      </c>
      <c r="I105" s="64" t="s">
        <v>1092</v>
      </c>
      <c r="J105" s="62">
        <v>1000.0</v>
      </c>
      <c r="K105" s="62">
        <v>0.0</v>
      </c>
      <c r="L105" s="62">
        <v>0.0</v>
      </c>
      <c r="M105" s="62">
        <v>0.0</v>
      </c>
      <c r="N105" s="62">
        <v>0.0</v>
      </c>
      <c r="O105" s="62">
        <v>1500.0</v>
      </c>
      <c r="P105" s="62">
        <v>2500.0</v>
      </c>
      <c r="Q105" s="62">
        <v>5000.0</v>
      </c>
      <c r="R105" s="62">
        <v>0.0</v>
      </c>
      <c r="S105" s="62">
        <v>1000.0</v>
      </c>
      <c r="T105" s="62">
        <v>1000.0</v>
      </c>
      <c r="U105" s="62">
        <v>200.0</v>
      </c>
      <c r="V105" s="62">
        <v>200.0</v>
      </c>
      <c r="W105" s="62">
        <v>0.0</v>
      </c>
      <c r="X105" s="62">
        <v>0.0</v>
      </c>
      <c r="Y105" s="62">
        <v>0.0</v>
      </c>
      <c r="Z105" s="62">
        <v>0.0</v>
      </c>
      <c r="AA105" s="62">
        <v>0.0</v>
      </c>
      <c r="AB105" s="62">
        <v>0.0</v>
      </c>
      <c r="AC105" s="62">
        <v>0.0</v>
      </c>
      <c r="AD105" s="62">
        <v>0.0</v>
      </c>
    </row>
    <row r="106" ht="22.5" customHeight="1">
      <c r="A106" s="62" t="s">
        <v>234</v>
      </c>
      <c r="B106" s="62" t="s">
        <v>1180</v>
      </c>
      <c r="C106" s="62" t="s">
        <v>1181</v>
      </c>
      <c r="D106" s="62" t="s">
        <v>1163</v>
      </c>
      <c r="E106" s="63">
        <v>0.793302735532</v>
      </c>
      <c r="F106" s="62">
        <v>0.0</v>
      </c>
      <c r="G106" s="71">
        <v>3000.0</v>
      </c>
      <c r="H106" s="71">
        <v>3000.0</v>
      </c>
      <c r="I106" s="64" t="s">
        <v>1092</v>
      </c>
      <c r="J106" s="62">
        <v>1000.0</v>
      </c>
      <c r="K106" s="62">
        <v>0.0</v>
      </c>
      <c r="L106" s="62">
        <v>0.0</v>
      </c>
      <c r="M106" s="62">
        <v>0.0</v>
      </c>
      <c r="N106" s="62">
        <v>0.0</v>
      </c>
      <c r="O106" s="62">
        <v>1500.0</v>
      </c>
      <c r="P106" s="62">
        <v>2500.0</v>
      </c>
      <c r="Q106" s="62">
        <v>5000.0</v>
      </c>
      <c r="R106" s="62">
        <v>0.0</v>
      </c>
      <c r="S106" s="62">
        <v>1000.0</v>
      </c>
      <c r="T106" s="62">
        <v>1000.0</v>
      </c>
      <c r="U106" s="62">
        <v>500.0</v>
      </c>
      <c r="V106" s="62">
        <v>500.0</v>
      </c>
      <c r="W106" s="62">
        <v>0.0</v>
      </c>
      <c r="X106" s="62">
        <v>0.0</v>
      </c>
      <c r="Y106" s="62">
        <v>0.0</v>
      </c>
      <c r="Z106" s="62">
        <v>0.0</v>
      </c>
      <c r="AA106" s="62">
        <v>15000.0</v>
      </c>
      <c r="AB106" s="62">
        <v>0.0</v>
      </c>
      <c r="AC106" s="62">
        <v>0.0</v>
      </c>
      <c r="AD106" s="62">
        <v>0.0</v>
      </c>
    </row>
    <row r="107" ht="22.5" customHeight="1">
      <c r="A107" s="62" t="s">
        <v>234</v>
      </c>
      <c r="B107" s="62" t="s">
        <v>1182</v>
      </c>
      <c r="C107" s="62" t="s">
        <v>1183</v>
      </c>
      <c r="D107" s="62" t="s">
        <v>1163</v>
      </c>
      <c r="E107" s="63">
        <v>8.17206825874</v>
      </c>
      <c r="F107" s="62">
        <v>0.0</v>
      </c>
      <c r="G107" s="71">
        <v>3000.0</v>
      </c>
      <c r="H107" s="71">
        <v>3000.0</v>
      </c>
      <c r="I107" s="64" t="s">
        <v>1092</v>
      </c>
      <c r="J107" s="62">
        <v>1000.0</v>
      </c>
      <c r="K107" s="62">
        <v>0.0</v>
      </c>
      <c r="L107" s="62">
        <v>0.0</v>
      </c>
      <c r="M107" s="62">
        <v>0.0</v>
      </c>
      <c r="N107" s="62">
        <v>0.0</v>
      </c>
      <c r="O107" s="62">
        <v>1500.0</v>
      </c>
      <c r="P107" s="62">
        <v>2500.0</v>
      </c>
      <c r="Q107" s="62">
        <v>5000.0</v>
      </c>
      <c r="R107" s="62">
        <v>0.0</v>
      </c>
      <c r="S107" s="62">
        <v>4000.0</v>
      </c>
      <c r="T107" s="62">
        <v>1000.0</v>
      </c>
      <c r="U107" s="62">
        <v>1000.0</v>
      </c>
      <c r="V107" s="62">
        <v>1000.0</v>
      </c>
      <c r="W107" s="62">
        <v>0.0</v>
      </c>
      <c r="X107" s="62">
        <v>0.0</v>
      </c>
      <c r="Y107" s="62">
        <v>0.0</v>
      </c>
      <c r="Z107" s="62">
        <v>0.0</v>
      </c>
      <c r="AA107" s="62">
        <v>0.0</v>
      </c>
      <c r="AB107" s="62">
        <v>0.0</v>
      </c>
      <c r="AC107" s="62">
        <v>0.0</v>
      </c>
      <c r="AD107" s="62">
        <v>0.0</v>
      </c>
    </row>
    <row r="108" ht="22.5" customHeight="1">
      <c r="A108" s="62" t="s">
        <v>234</v>
      </c>
      <c r="B108" s="62" t="s">
        <v>1184</v>
      </c>
      <c r="C108" s="62" t="s">
        <v>1185</v>
      </c>
      <c r="D108" s="62" t="s">
        <v>1163</v>
      </c>
      <c r="E108" s="63">
        <v>3.28589956444</v>
      </c>
      <c r="F108" s="62">
        <v>0.0</v>
      </c>
      <c r="G108" s="71">
        <v>3000.0</v>
      </c>
      <c r="H108" s="71">
        <v>3000.0</v>
      </c>
      <c r="I108" s="64" t="s">
        <v>1092</v>
      </c>
      <c r="J108" s="62">
        <v>1000.0</v>
      </c>
      <c r="K108" s="62">
        <v>0.0</v>
      </c>
      <c r="L108" s="62">
        <v>0.0</v>
      </c>
      <c r="M108" s="62">
        <v>0.0</v>
      </c>
      <c r="N108" s="62">
        <v>0.0</v>
      </c>
      <c r="O108" s="62">
        <v>1500.0</v>
      </c>
      <c r="P108" s="62">
        <v>2500.0</v>
      </c>
      <c r="Q108" s="62">
        <v>5000.0</v>
      </c>
      <c r="R108" s="62">
        <v>0.0</v>
      </c>
      <c r="S108" s="62">
        <v>1000.0</v>
      </c>
      <c r="T108" s="62">
        <v>1000.0</v>
      </c>
      <c r="U108" s="62">
        <v>2000.0</v>
      </c>
      <c r="V108" s="62">
        <v>2000.0</v>
      </c>
      <c r="W108" s="62">
        <v>0.0</v>
      </c>
      <c r="X108" s="62">
        <v>0.0</v>
      </c>
      <c r="Y108" s="62">
        <v>0.0</v>
      </c>
      <c r="Z108" s="62">
        <v>0.0</v>
      </c>
      <c r="AA108" s="62">
        <v>0.0</v>
      </c>
      <c r="AB108" s="62">
        <v>0.0</v>
      </c>
      <c r="AC108" s="62">
        <v>0.0</v>
      </c>
      <c r="AD108" s="62">
        <v>0.0</v>
      </c>
    </row>
    <row r="109" ht="22.5" customHeight="1">
      <c r="A109" s="62" t="s">
        <v>234</v>
      </c>
      <c r="B109" s="62" t="s">
        <v>1186</v>
      </c>
      <c r="C109" s="62" t="s">
        <v>1187</v>
      </c>
      <c r="D109" s="62" t="s">
        <v>1163</v>
      </c>
      <c r="E109" s="63">
        <v>4.25885600318</v>
      </c>
      <c r="F109" s="62">
        <v>0.0</v>
      </c>
      <c r="G109" s="71">
        <v>3000.0</v>
      </c>
      <c r="H109" s="71">
        <v>3000.0</v>
      </c>
      <c r="I109" s="64" t="s">
        <v>1092</v>
      </c>
      <c r="J109" s="62">
        <v>1000.0</v>
      </c>
      <c r="K109" s="62">
        <v>0.0</v>
      </c>
      <c r="L109" s="62">
        <v>0.0</v>
      </c>
      <c r="M109" s="62">
        <v>0.0</v>
      </c>
      <c r="N109" s="62">
        <v>0.0</v>
      </c>
      <c r="O109" s="62">
        <v>1500.0</v>
      </c>
      <c r="P109" s="62">
        <v>2500.0</v>
      </c>
      <c r="Q109" s="62">
        <v>5000.0</v>
      </c>
      <c r="R109" s="62">
        <v>0.0</v>
      </c>
      <c r="S109" s="62">
        <v>1000.0</v>
      </c>
      <c r="T109" s="62">
        <v>1000.0</v>
      </c>
      <c r="U109" s="62">
        <v>0.0</v>
      </c>
      <c r="V109" s="62">
        <v>0.0</v>
      </c>
      <c r="W109" s="62">
        <v>0.0</v>
      </c>
      <c r="X109" s="62">
        <v>0.0</v>
      </c>
      <c r="Y109" s="62">
        <v>0.0</v>
      </c>
      <c r="Z109" s="62">
        <v>0.0</v>
      </c>
      <c r="AA109" s="62">
        <v>0.0</v>
      </c>
      <c r="AB109" s="62">
        <v>0.0</v>
      </c>
      <c r="AC109" s="62">
        <v>0.0</v>
      </c>
      <c r="AD109" s="62">
        <v>0.0</v>
      </c>
    </row>
    <row r="110" ht="22.5" customHeight="1">
      <c r="A110" s="62" t="s">
        <v>246</v>
      </c>
      <c r="B110" s="62" t="s">
        <v>1161</v>
      </c>
      <c r="C110" s="62" t="s">
        <v>1162</v>
      </c>
      <c r="D110" s="62" t="s">
        <v>1163</v>
      </c>
      <c r="E110" s="63">
        <v>15.9623321182</v>
      </c>
      <c r="F110" s="62">
        <v>0.0</v>
      </c>
      <c r="G110" s="71">
        <v>0.0</v>
      </c>
      <c r="H110" s="71">
        <v>0.0</v>
      </c>
      <c r="I110" s="64" t="s">
        <v>1092</v>
      </c>
      <c r="J110" s="62">
        <v>0.0</v>
      </c>
      <c r="K110" s="62">
        <v>0.0</v>
      </c>
      <c r="L110" s="62">
        <v>0.0</v>
      </c>
      <c r="M110" s="62">
        <v>5000.0</v>
      </c>
      <c r="N110" s="62">
        <v>0.0</v>
      </c>
      <c r="O110" s="62">
        <v>0.0</v>
      </c>
      <c r="P110" s="62">
        <v>0.0</v>
      </c>
      <c r="Q110" s="62">
        <v>0.0</v>
      </c>
      <c r="R110" s="62">
        <v>0.0</v>
      </c>
      <c r="S110" s="62">
        <v>1000.0</v>
      </c>
      <c r="T110" s="62">
        <v>2000.0</v>
      </c>
      <c r="U110" s="62">
        <v>2000.0</v>
      </c>
      <c r="V110" s="62">
        <v>0.0</v>
      </c>
      <c r="W110" s="62">
        <v>0.0</v>
      </c>
      <c r="X110" s="62">
        <v>0.0</v>
      </c>
      <c r="Y110" s="62">
        <v>0.0</v>
      </c>
      <c r="Z110" s="62">
        <v>0.0</v>
      </c>
      <c r="AA110" s="62">
        <v>0.0</v>
      </c>
      <c r="AB110" s="62">
        <v>0.0</v>
      </c>
      <c r="AC110" s="62">
        <v>0.0</v>
      </c>
      <c r="AD110" s="62">
        <v>0.0</v>
      </c>
    </row>
    <row r="111" ht="22.5" customHeight="1">
      <c r="A111" s="62" t="s">
        <v>246</v>
      </c>
      <c r="B111" s="62" t="s">
        <v>1137</v>
      </c>
      <c r="C111" s="62" t="s">
        <v>1138</v>
      </c>
      <c r="D111" s="62">
        <v>2026.0</v>
      </c>
      <c r="E111" s="63">
        <v>11.7990407647</v>
      </c>
      <c r="F111" s="62">
        <v>0.0</v>
      </c>
      <c r="G111" s="71">
        <v>0.0</v>
      </c>
      <c r="H111" s="71">
        <v>0.0</v>
      </c>
      <c r="I111" s="64" t="s">
        <v>1092</v>
      </c>
      <c r="J111" s="62">
        <v>0.0</v>
      </c>
      <c r="K111" s="62">
        <v>0.0</v>
      </c>
      <c r="L111" s="62">
        <v>0.0</v>
      </c>
      <c r="M111" s="62">
        <v>5000.0</v>
      </c>
      <c r="N111" s="62">
        <v>0.0</v>
      </c>
      <c r="O111" s="62">
        <v>0.0</v>
      </c>
      <c r="P111" s="62">
        <v>0.0</v>
      </c>
      <c r="Q111" s="62">
        <v>0.0</v>
      </c>
      <c r="R111" s="62">
        <v>0.0</v>
      </c>
      <c r="S111" s="62">
        <v>0.0</v>
      </c>
      <c r="T111" s="62">
        <v>0.0</v>
      </c>
      <c r="U111" s="62">
        <v>0.0</v>
      </c>
      <c r="V111" s="62">
        <v>3000.0</v>
      </c>
      <c r="W111" s="62">
        <v>5000.0</v>
      </c>
      <c r="X111" s="62">
        <v>6000.0</v>
      </c>
      <c r="Y111" s="62">
        <v>4000.0</v>
      </c>
      <c r="Z111" s="62">
        <v>0.0</v>
      </c>
      <c r="AA111" s="62">
        <v>0.0</v>
      </c>
      <c r="AB111" s="62">
        <v>0.0</v>
      </c>
      <c r="AC111" s="62">
        <v>0.0</v>
      </c>
      <c r="AD111" s="62">
        <v>0.0</v>
      </c>
    </row>
    <row r="112" ht="22.5" customHeight="1">
      <c r="A112" s="62" t="s">
        <v>246</v>
      </c>
      <c r="B112" s="62" t="s">
        <v>1166</v>
      </c>
      <c r="C112" s="62" t="s">
        <v>1167</v>
      </c>
      <c r="D112" s="62" t="s">
        <v>1163</v>
      </c>
      <c r="E112" s="63">
        <v>27.4170248389</v>
      </c>
      <c r="F112" s="62">
        <v>0.0</v>
      </c>
      <c r="G112" s="71">
        <v>0.0</v>
      </c>
      <c r="H112" s="71">
        <v>0.0</v>
      </c>
      <c r="I112" s="64" t="s">
        <v>1092</v>
      </c>
      <c r="J112" s="62">
        <v>0.0</v>
      </c>
      <c r="K112" s="62">
        <v>0.0</v>
      </c>
      <c r="L112" s="62">
        <v>0.0</v>
      </c>
      <c r="M112" s="62">
        <v>5000.0</v>
      </c>
      <c r="N112" s="62">
        <v>0.0</v>
      </c>
      <c r="O112" s="62">
        <v>0.0</v>
      </c>
      <c r="P112" s="62">
        <v>0.0</v>
      </c>
      <c r="Q112" s="62">
        <v>0.0</v>
      </c>
      <c r="R112" s="62">
        <v>0.0</v>
      </c>
      <c r="S112" s="62">
        <v>2000.0</v>
      </c>
      <c r="T112" s="62">
        <v>1000.0</v>
      </c>
      <c r="U112" s="62">
        <v>0.0</v>
      </c>
      <c r="V112" s="62">
        <v>0.0</v>
      </c>
      <c r="W112" s="62">
        <v>0.0</v>
      </c>
      <c r="X112" s="62">
        <v>0.0</v>
      </c>
      <c r="Y112" s="62">
        <v>0.0</v>
      </c>
      <c r="Z112" s="62">
        <v>0.0</v>
      </c>
      <c r="AA112" s="62">
        <v>0.0</v>
      </c>
      <c r="AB112" s="62">
        <v>0.0</v>
      </c>
      <c r="AC112" s="62">
        <v>0.0</v>
      </c>
      <c r="AD112" s="62">
        <v>0.0</v>
      </c>
    </row>
    <row r="113" ht="22.5" customHeight="1">
      <c r="A113" s="62" t="s">
        <v>246</v>
      </c>
      <c r="B113" s="62" t="s">
        <v>1111</v>
      </c>
      <c r="C113" s="62" t="s">
        <v>1112</v>
      </c>
      <c r="D113" s="62">
        <v>2023.0</v>
      </c>
      <c r="E113" s="63">
        <v>8.68807045352</v>
      </c>
      <c r="F113" s="62">
        <v>0.0</v>
      </c>
      <c r="G113" s="71">
        <v>0.0</v>
      </c>
      <c r="H113" s="71">
        <v>0.0</v>
      </c>
      <c r="I113" s="64" t="s">
        <v>1092</v>
      </c>
      <c r="J113" s="62">
        <v>0.0</v>
      </c>
      <c r="K113" s="62">
        <v>0.0</v>
      </c>
      <c r="L113" s="62">
        <v>0.0</v>
      </c>
      <c r="M113" s="62">
        <v>0.0</v>
      </c>
      <c r="N113" s="62">
        <v>0.0</v>
      </c>
      <c r="O113" s="62">
        <v>0.0</v>
      </c>
      <c r="P113" s="62">
        <v>0.0</v>
      </c>
      <c r="Q113" s="62">
        <v>0.0</v>
      </c>
      <c r="R113" s="62">
        <v>0.0</v>
      </c>
      <c r="S113" s="62">
        <v>0.0</v>
      </c>
      <c r="T113" s="62">
        <v>0.0</v>
      </c>
      <c r="U113" s="62">
        <v>0.0</v>
      </c>
      <c r="V113" s="62">
        <v>0.0</v>
      </c>
      <c r="W113" s="62">
        <v>0.0</v>
      </c>
      <c r="X113" s="62">
        <v>0.0</v>
      </c>
      <c r="Y113" s="62">
        <v>0.0</v>
      </c>
      <c r="Z113" s="62">
        <v>0.0</v>
      </c>
      <c r="AA113" s="62">
        <v>2000.0</v>
      </c>
      <c r="AB113" s="62">
        <v>3000.0</v>
      </c>
      <c r="AC113" s="62">
        <v>0.0</v>
      </c>
      <c r="AD113" s="62">
        <v>0.0</v>
      </c>
    </row>
    <row r="114" ht="22.5" customHeight="1">
      <c r="A114" s="65"/>
      <c r="B114" s="65"/>
      <c r="C114" s="65"/>
      <c r="D114" s="66">
        <f>SUM(Opbrengs_per_hektaar[GEPLANT])</f>
        <v>72868</v>
      </c>
      <c r="E114" s="67">
        <f>SUM(Opbrengs_per_hektaar[HEKTAAR])</f>
        <v>1049.350267</v>
      </c>
      <c r="F114" s="65"/>
      <c r="G114" s="68">
        <f>SUM(Opbrengs_per_hektaar[2005
OESSKAT])</f>
        <v>91000</v>
      </c>
      <c r="H114" s="68">
        <f>SUM(Opbrengs_per_hektaar[2006
OESSKAT])</f>
        <v>286500</v>
      </c>
      <c r="I114" s="68">
        <f>SUM(Opbrengs_per_hektaar[2007_OESSKAT])</f>
        <v>0</v>
      </c>
      <c r="J114" s="66">
        <f>SUM(Opbrengs_per_hektaar[2008_OESSKAT])</f>
        <v>310000</v>
      </c>
      <c r="K114" s="66">
        <f>SUM(Opbrengs_per_hektaar[2009_OESSKAT])</f>
        <v>189000</v>
      </c>
      <c r="L114" s="66">
        <f>SUM(Opbrengs_per_hektaar[2010_OESSKAT])</f>
        <v>132000</v>
      </c>
      <c r="M114" s="66">
        <f>SUM(Opbrengs_per_hektaar[2011_OESSKAT])</f>
        <v>236000</v>
      </c>
      <c r="N114" s="66">
        <f>SUM(Opbrengs_per_hektaar[2012_OESSKAT])</f>
        <v>172000</v>
      </c>
      <c r="O114" s="66">
        <f>SUM(Opbrengs_per_hektaar[2013_OESSKAT])</f>
        <v>142500</v>
      </c>
      <c r="P114" s="66">
        <f>SUM(Opbrengs_per_hektaar[2014_OESSKAT])</f>
        <v>163500</v>
      </c>
      <c r="Q114" s="66">
        <f>SUM(Opbrengs_per_hektaar[2015_OESSKAT])</f>
        <v>202000</v>
      </c>
      <c r="R114" s="66">
        <f>SUM(Opbrengs_per_hektaar[2016_OESSKAT])</f>
        <v>132500</v>
      </c>
      <c r="S114" s="66">
        <f>SUM(Opbrengs_per_hektaar[2017_OESSKAT])</f>
        <v>372800</v>
      </c>
      <c r="T114" s="66">
        <f>SUM(Opbrengs_per_hektaar[2018_OESSKAT])</f>
        <v>216003</v>
      </c>
      <c r="U114" s="66">
        <f>SUM(Opbrengs_per_hektaar[2019_OESSKAT])</f>
        <v>195200</v>
      </c>
      <c r="V114" s="66">
        <f>SUM(Opbrengs_per_hektaar[2020_OESSKAT])</f>
        <v>209200</v>
      </c>
      <c r="W114" s="66">
        <f>SUM(Opbrengs_per_hektaar[2021_OESSKAT])</f>
        <v>207000</v>
      </c>
      <c r="X114" s="66">
        <f>SUM(Opbrengs_per_hektaar[2022_OESSKAT])</f>
        <v>186000</v>
      </c>
      <c r="Y114" s="66">
        <f>SUM(Opbrengs_per_hektaar[2023_OESSKAT])</f>
        <v>120000</v>
      </c>
      <c r="Z114" s="66">
        <f>SUM(Opbrengs_per_hektaar[2024_OESSKAT])</f>
        <v>192000</v>
      </c>
      <c r="AA114" s="66">
        <f>SUM(Opbrengs_per_hektaar[2025_OESSKAT])</f>
        <v>231700</v>
      </c>
      <c r="AB114" s="66">
        <f>SUM(Opbrengs_per_hektaar[2026_OESSKAT])</f>
        <v>178000</v>
      </c>
      <c r="AC114" s="66">
        <f>SUM(Opbrengs_per_hektaar[2027_OESSKAT])</f>
        <v>93000</v>
      </c>
      <c r="AD114" s="66">
        <f>SUM(Opbrengs_per_hektaar[2028_OESSKAT])</f>
        <v>34000</v>
      </c>
    </row>
    <row r="115">
      <c r="A115" s="57"/>
      <c r="B115" s="57"/>
      <c r="C115" s="57"/>
      <c r="D115" s="57"/>
      <c r="E115" s="58"/>
      <c r="F115" s="57"/>
      <c r="G115" s="59"/>
      <c r="H115" s="59"/>
      <c r="I115" s="59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>
      <c r="A116" s="72" t="s">
        <v>1063</v>
      </c>
      <c r="B116" s="72" t="s">
        <v>1064</v>
      </c>
      <c r="C116" s="72" t="s">
        <v>1065</v>
      </c>
      <c r="D116" s="72" t="s">
        <v>1066</v>
      </c>
      <c r="E116" s="73" t="s">
        <v>1067</v>
      </c>
      <c r="F116" s="72" t="s">
        <v>1196</v>
      </c>
      <c r="G116" s="74" t="s">
        <v>1197</v>
      </c>
      <c r="H116" s="74" t="s">
        <v>1198</v>
      </c>
      <c r="I116" s="74" t="s">
        <v>1199</v>
      </c>
      <c r="J116" s="72" t="s">
        <v>1200</v>
      </c>
      <c r="K116" s="72" t="s">
        <v>1201</v>
      </c>
      <c r="L116" s="72" t="s">
        <v>1202</v>
      </c>
      <c r="M116" s="72" t="s">
        <v>1203</v>
      </c>
      <c r="N116" s="72" t="s">
        <v>1204</v>
      </c>
      <c r="O116" s="72" t="s">
        <v>1205</v>
      </c>
      <c r="P116" s="72" t="s">
        <v>1206</v>
      </c>
      <c r="Q116" s="72" t="s">
        <v>1207</v>
      </c>
      <c r="R116" s="72" t="s">
        <v>1208</v>
      </c>
      <c r="S116" s="72" t="s">
        <v>1209</v>
      </c>
      <c r="T116" s="72" t="s">
        <v>1210</v>
      </c>
      <c r="U116" s="72" t="s">
        <v>1211</v>
      </c>
      <c r="V116" s="72" t="s">
        <v>1212</v>
      </c>
      <c r="W116" s="72" t="s">
        <v>1213</v>
      </c>
      <c r="X116" s="72" t="s">
        <v>1214</v>
      </c>
      <c r="Y116" s="72" t="s">
        <v>1215</v>
      </c>
      <c r="Z116" s="72" t="s">
        <v>1216</v>
      </c>
      <c r="AA116" s="72" t="s">
        <v>1217</v>
      </c>
      <c r="AB116" s="72" t="s">
        <v>1218</v>
      </c>
      <c r="AC116" s="72" t="s">
        <v>1219</v>
      </c>
      <c r="AD116" s="72" t="s">
        <v>1220</v>
      </c>
    </row>
    <row r="117">
      <c r="A117" s="57" t="s">
        <v>246</v>
      </c>
      <c r="B117" s="57" t="s">
        <v>1139</v>
      </c>
      <c r="C117" s="57" t="s">
        <v>1140</v>
      </c>
      <c r="D117" s="57">
        <v>2026.0</v>
      </c>
      <c r="E117" s="58">
        <v>18.110612985</v>
      </c>
      <c r="F117" s="75">
        <f t="shared" ref="F117:AD117" si="1">F61/$E117</f>
        <v>0</v>
      </c>
      <c r="G117" s="75">
        <f t="shared" si="1"/>
        <v>0</v>
      </c>
      <c r="H117" s="75">
        <f t="shared" si="1"/>
        <v>828.2436388</v>
      </c>
      <c r="I117" s="75" t="str">
        <f t="shared" si="1"/>
        <v>#VALUE!</v>
      </c>
      <c r="J117" s="75">
        <f t="shared" si="1"/>
        <v>0</v>
      </c>
      <c r="K117" s="75">
        <f t="shared" si="1"/>
        <v>0</v>
      </c>
      <c r="L117" s="75">
        <f t="shared" si="1"/>
        <v>331.2974555</v>
      </c>
      <c r="M117" s="75">
        <f t="shared" si="1"/>
        <v>55.21624259</v>
      </c>
      <c r="N117" s="75">
        <f t="shared" si="1"/>
        <v>220.8649704</v>
      </c>
      <c r="O117" s="75">
        <f t="shared" si="1"/>
        <v>110.4324852</v>
      </c>
      <c r="P117" s="75">
        <f t="shared" si="1"/>
        <v>110.4324852</v>
      </c>
      <c r="Q117" s="75">
        <f t="shared" si="1"/>
        <v>110.4324852</v>
      </c>
      <c r="R117" s="75">
        <f t="shared" si="1"/>
        <v>248.4730916</v>
      </c>
      <c r="S117" s="75">
        <f t="shared" si="1"/>
        <v>1877.352248</v>
      </c>
      <c r="T117" s="75">
        <f t="shared" si="1"/>
        <v>496.9461833</v>
      </c>
      <c r="U117" s="75">
        <f t="shared" si="1"/>
        <v>552.1624259</v>
      </c>
      <c r="V117" s="75">
        <f t="shared" si="1"/>
        <v>0</v>
      </c>
      <c r="W117" s="75">
        <f t="shared" si="1"/>
        <v>0</v>
      </c>
      <c r="X117" s="75">
        <f t="shared" si="1"/>
        <v>828.2436388</v>
      </c>
      <c r="Y117" s="75">
        <f t="shared" si="1"/>
        <v>0</v>
      </c>
      <c r="Z117" s="75">
        <f t="shared" si="1"/>
        <v>110.4324852</v>
      </c>
      <c r="AA117" s="75">
        <f t="shared" si="1"/>
        <v>0</v>
      </c>
      <c r="AB117" s="75">
        <f t="shared" si="1"/>
        <v>0</v>
      </c>
      <c r="AC117" s="75">
        <f t="shared" si="1"/>
        <v>110.4324852</v>
      </c>
      <c r="AD117" s="75">
        <f t="shared" si="1"/>
        <v>496.9461833</v>
      </c>
    </row>
    <row r="118">
      <c r="A118" s="57" t="s">
        <v>246</v>
      </c>
      <c r="B118" s="57" t="s">
        <v>1095</v>
      </c>
      <c r="C118" s="57" t="s">
        <v>1096</v>
      </c>
      <c r="D118" s="57">
        <v>2022.0</v>
      </c>
      <c r="E118" s="58">
        <v>21.1987533783</v>
      </c>
      <c r="F118" s="75">
        <f t="shared" ref="F118:AD118" si="2">F62/$E118</f>
        <v>0</v>
      </c>
      <c r="G118" s="75">
        <f t="shared" si="2"/>
        <v>0</v>
      </c>
      <c r="H118" s="75">
        <f t="shared" si="2"/>
        <v>0</v>
      </c>
      <c r="I118" s="75" t="str">
        <f t="shared" si="2"/>
        <v>#VALUE!</v>
      </c>
      <c r="J118" s="75">
        <f t="shared" si="2"/>
        <v>0</v>
      </c>
      <c r="K118" s="75">
        <f t="shared" si="2"/>
        <v>0</v>
      </c>
      <c r="L118" s="75">
        <f t="shared" si="2"/>
        <v>0</v>
      </c>
      <c r="M118" s="75">
        <f t="shared" si="2"/>
        <v>377.3806816</v>
      </c>
      <c r="N118" s="75">
        <f t="shared" si="2"/>
        <v>377.3806816</v>
      </c>
      <c r="O118" s="75">
        <f t="shared" si="2"/>
        <v>377.3806816</v>
      </c>
      <c r="P118" s="75">
        <f t="shared" si="2"/>
        <v>283.0355112</v>
      </c>
      <c r="Q118" s="75">
        <f t="shared" si="2"/>
        <v>0</v>
      </c>
      <c r="R118" s="75">
        <f t="shared" si="2"/>
        <v>0</v>
      </c>
      <c r="S118" s="75">
        <f t="shared" si="2"/>
        <v>754.7613633</v>
      </c>
      <c r="T118" s="75">
        <f t="shared" si="2"/>
        <v>754.7613633</v>
      </c>
      <c r="U118" s="75">
        <f t="shared" si="2"/>
        <v>566.0710225</v>
      </c>
      <c r="V118" s="75">
        <f t="shared" si="2"/>
        <v>235.862926</v>
      </c>
      <c r="W118" s="75">
        <f t="shared" si="2"/>
        <v>0</v>
      </c>
      <c r="X118" s="75">
        <f t="shared" si="2"/>
        <v>0</v>
      </c>
      <c r="Y118" s="75">
        <f t="shared" si="2"/>
        <v>0</v>
      </c>
      <c r="Z118" s="75">
        <f t="shared" si="2"/>
        <v>283.0355112</v>
      </c>
      <c r="AA118" s="75">
        <f t="shared" si="2"/>
        <v>188.6903408</v>
      </c>
      <c r="AB118" s="75">
        <f t="shared" si="2"/>
        <v>235.862926</v>
      </c>
      <c r="AC118" s="75">
        <f t="shared" si="2"/>
        <v>0</v>
      </c>
      <c r="AD118" s="75">
        <f t="shared" si="2"/>
        <v>0</v>
      </c>
    </row>
    <row r="119">
      <c r="A119" s="57" t="s">
        <v>246</v>
      </c>
      <c r="B119" s="57" t="s">
        <v>1141</v>
      </c>
      <c r="C119" s="57" t="s">
        <v>1142</v>
      </c>
      <c r="D119" s="57">
        <v>2026.0</v>
      </c>
      <c r="E119" s="58">
        <v>11.6095621633</v>
      </c>
      <c r="F119" s="75">
        <f t="shared" ref="F119:AD119" si="3">F63/$E119</f>
        <v>0</v>
      </c>
      <c r="G119" s="75">
        <f t="shared" si="3"/>
        <v>0</v>
      </c>
      <c r="H119" s="75">
        <f t="shared" si="3"/>
        <v>430.6794632</v>
      </c>
      <c r="I119" s="75" t="str">
        <f t="shared" si="3"/>
        <v>#VALUE!</v>
      </c>
      <c r="J119" s="75">
        <f t="shared" si="3"/>
        <v>258.4076779</v>
      </c>
      <c r="K119" s="75">
        <f t="shared" si="3"/>
        <v>172.2717853</v>
      </c>
      <c r="L119" s="75">
        <f t="shared" si="3"/>
        <v>0</v>
      </c>
      <c r="M119" s="75">
        <f t="shared" si="3"/>
        <v>0</v>
      </c>
      <c r="N119" s="75">
        <f t="shared" si="3"/>
        <v>0</v>
      </c>
      <c r="O119" s="75">
        <f t="shared" si="3"/>
        <v>86.13589263</v>
      </c>
      <c r="P119" s="75">
        <f t="shared" si="3"/>
        <v>0</v>
      </c>
      <c r="Q119" s="75">
        <f t="shared" si="3"/>
        <v>0</v>
      </c>
      <c r="R119" s="75">
        <f t="shared" si="3"/>
        <v>0</v>
      </c>
      <c r="S119" s="75">
        <f t="shared" si="3"/>
        <v>258.4076779</v>
      </c>
      <c r="T119" s="75">
        <f t="shared" si="3"/>
        <v>258.4076779</v>
      </c>
      <c r="U119" s="75">
        <f t="shared" si="3"/>
        <v>172.2717853</v>
      </c>
      <c r="V119" s="75">
        <f t="shared" si="3"/>
        <v>172.2717853</v>
      </c>
      <c r="W119" s="75">
        <f t="shared" si="3"/>
        <v>0</v>
      </c>
      <c r="X119" s="75">
        <f t="shared" si="3"/>
        <v>86.13589263</v>
      </c>
      <c r="Y119" s="75">
        <f t="shared" si="3"/>
        <v>258.4076779</v>
      </c>
      <c r="Z119" s="75">
        <f t="shared" si="3"/>
        <v>86.13589263</v>
      </c>
      <c r="AA119" s="75">
        <f t="shared" si="3"/>
        <v>344.5435705</v>
      </c>
      <c r="AB119" s="75">
        <f t="shared" si="3"/>
        <v>0</v>
      </c>
      <c r="AC119" s="75">
        <f t="shared" si="3"/>
        <v>86.13589263</v>
      </c>
      <c r="AD119" s="75">
        <f t="shared" si="3"/>
        <v>430.6794632</v>
      </c>
    </row>
    <row r="120">
      <c r="A120" s="57" t="s">
        <v>95</v>
      </c>
      <c r="B120" s="57" t="s">
        <v>1146</v>
      </c>
      <c r="C120" s="57" t="s">
        <v>1147</v>
      </c>
      <c r="D120" s="57">
        <v>2026.0</v>
      </c>
      <c r="E120" s="58">
        <v>29.4711171643</v>
      </c>
      <c r="F120" s="75">
        <f t="shared" ref="F120:AD120" si="4">F64/$E120</f>
        <v>0</v>
      </c>
      <c r="G120" s="75">
        <f t="shared" si="4"/>
        <v>0</v>
      </c>
      <c r="H120" s="75">
        <f t="shared" si="4"/>
        <v>848.2881684</v>
      </c>
      <c r="I120" s="75" t="str">
        <f t="shared" si="4"/>
        <v>#VALUE!</v>
      </c>
      <c r="J120" s="75">
        <f t="shared" si="4"/>
        <v>848.2881684</v>
      </c>
      <c r="K120" s="75">
        <f t="shared" si="4"/>
        <v>339.3152674</v>
      </c>
      <c r="L120" s="75">
        <f t="shared" si="4"/>
        <v>0</v>
      </c>
      <c r="M120" s="75">
        <f t="shared" si="4"/>
        <v>610.7674812</v>
      </c>
      <c r="N120" s="75">
        <f t="shared" si="4"/>
        <v>610.7674812</v>
      </c>
      <c r="O120" s="75">
        <f t="shared" si="4"/>
        <v>407.1783208</v>
      </c>
      <c r="P120" s="75">
        <f t="shared" si="4"/>
        <v>0</v>
      </c>
      <c r="Q120" s="75">
        <f t="shared" si="4"/>
        <v>101.7945802</v>
      </c>
      <c r="R120" s="75">
        <f t="shared" si="4"/>
        <v>407.1783208</v>
      </c>
      <c r="S120" s="75">
        <f t="shared" si="4"/>
        <v>1017.945802</v>
      </c>
      <c r="T120" s="75">
        <f t="shared" si="4"/>
        <v>271.4522139</v>
      </c>
      <c r="U120" s="75">
        <f t="shared" si="4"/>
        <v>0</v>
      </c>
      <c r="V120" s="75">
        <f t="shared" si="4"/>
        <v>0</v>
      </c>
      <c r="W120" s="75">
        <f t="shared" si="4"/>
        <v>101.7945802</v>
      </c>
      <c r="X120" s="75">
        <f t="shared" si="4"/>
        <v>101.7945802</v>
      </c>
      <c r="Y120" s="75">
        <f t="shared" si="4"/>
        <v>305.3837406</v>
      </c>
      <c r="Z120" s="75">
        <f t="shared" si="4"/>
        <v>508.972901</v>
      </c>
      <c r="AA120" s="75">
        <f t="shared" si="4"/>
        <v>508.972901</v>
      </c>
      <c r="AB120" s="75">
        <f t="shared" si="4"/>
        <v>0</v>
      </c>
      <c r="AC120" s="75">
        <f t="shared" si="4"/>
        <v>0</v>
      </c>
      <c r="AD120" s="75">
        <f t="shared" si="4"/>
        <v>0</v>
      </c>
    </row>
    <row r="121">
      <c r="A121" s="57" t="s">
        <v>95</v>
      </c>
      <c r="B121" s="57" t="s">
        <v>1099</v>
      </c>
      <c r="C121" s="57" t="s">
        <v>1100</v>
      </c>
      <c r="D121" s="57">
        <v>2022.0</v>
      </c>
      <c r="E121" s="58">
        <v>41.9793488172</v>
      </c>
      <c r="F121" s="75">
        <f t="shared" ref="F121:AD121" si="5">F65/$E121</f>
        <v>571.7096781</v>
      </c>
      <c r="G121" s="75">
        <f t="shared" si="5"/>
        <v>357.3185488</v>
      </c>
      <c r="H121" s="75">
        <f t="shared" si="5"/>
        <v>357.3185488</v>
      </c>
      <c r="I121" s="75" t="str">
        <f t="shared" si="5"/>
        <v>#VALUE!</v>
      </c>
      <c r="J121" s="75">
        <f t="shared" si="5"/>
        <v>357.3185488</v>
      </c>
      <c r="K121" s="75">
        <f t="shared" si="5"/>
        <v>595.5309147</v>
      </c>
      <c r="L121" s="75">
        <f t="shared" si="5"/>
        <v>476.4247318</v>
      </c>
      <c r="M121" s="75">
        <f t="shared" si="5"/>
        <v>238.2123659</v>
      </c>
      <c r="N121" s="75">
        <f t="shared" si="5"/>
        <v>119.1061829</v>
      </c>
      <c r="O121" s="75">
        <f t="shared" si="5"/>
        <v>0</v>
      </c>
      <c r="P121" s="75">
        <f t="shared" si="5"/>
        <v>0</v>
      </c>
      <c r="Q121" s="75">
        <f t="shared" si="5"/>
        <v>714.6370977</v>
      </c>
      <c r="R121" s="75">
        <f t="shared" si="5"/>
        <v>357.3185488</v>
      </c>
      <c r="S121" s="75">
        <f t="shared" si="5"/>
        <v>476.4247318</v>
      </c>
      <c r="T121" s="75">
        <f t="shared" si="5"/>
        <v>238.2123659</v>
      </c>
      <c r="U121" s="75">
        <f t="shared" si="5"/>
        <v>119.1061829</v>
      </c>
      <c r="V121" s="75">
        <f t="shared" si="5"/>
        <v>119.1061829</v>
      </c>
      <c r="W121" s="75">
        <f t="shared" si="5"/>
        <v>71.46370977</v>
      </c>
      <c r="X121" s="75">
        <f t="shared" si="5"/>
        <v>0</v>
      </c>
      <c r="Y121" s="75">
        <f t="shared" si="5"/>
        <v>0</v>
      </c>
      <c r="Z121" s="75">
        <f t="shared" si="5"/>
        <v>381.1397854</v>
      </c>
      <c r="AA121" s="75">
        <f t="shared" si="5"/>
        <v>571.7096781</v>
      </c>
      <c r="AB121" s="75">
        <f t="shared" si="5"/>
        <v>476.4247318</v>
      </c>
      <c r="AC121" s="75">
        <f t="shared" si="5"/>
        <v>0</v>
      </c>
      <c r="AD121" s="75">
        <f t="shared" si="5"/>
        <v>0</v>
      </c>
    </row>
    <row r="122">
      <c r="A122" s="57" t="s">
        <v>234</v>
      </c>
      <c r="B122" s="57" t="s">
        <v>1135</v>
      </c>
      <c r="C122" s="57" t="s">
        <v>1148</v>
      </c>
      <c r="D122" s="57">
        <v>2026.0</v>
      </c>
      <c r="E122" s="58">
        <v>16.5529615454</v>
      </c>
      <c r="F122" s="75">
        <f t="shared" ref="F122:AD122" si="6">F66/$E122</f>
        <v>724.945803</v>
      </c>
      <c r="G122" s="75">
        <f t="shared" si="6"/>
        <v>604.1215025</v>
      </c>
      <c r="H122" s="75">
        <f t="shared" si="6"/>
        <v>181.2364508</v>
      </c>
      <c r="I122" s="75" t="str">
        <f t="shared" si="6"/>
        <v>#VALUE!</v>
      </c>
      <c r="J122" s="75">
        <f t="shared" si="6"/>
        <v>302.0607513</v>
      </c>
      <c r="K122" s="75">
        <f t="shared" si="6"/>
        <v>302.0607513</v>
      </c>
      <c r="L122" s="75">
        <f t="shared" si="6"/>
        <v>181.2364508</v>
      </c>
      <c r="M122" s="75">
        <f t="shared" si="6"/>
        <v>362.4729015</v>
      </c>
      <c r="N122" s="75">
        <f t="shared" si="6"/>
        <v>0</v>
      </c>
      <c r="O122" s="75">
        <f t="shared" si="6"/>
        <v>0</v>
      </c>
      <c r="P122" s="75">
        <f t="shared" si="6"/>
        <v>0</v>
      </c>
      <c r="Q122" s="75">
        <f t="shared" si="6"/>
        <v>483.297202</v>
      </c>
      <c r="R122" s="75">
        <f t="shared" si="6"/>
        <v>302.0607513</v>
      </c>
      <c r="S122" s="75">
        <f t="shared" si="6"/>
        <v>724.945803</v>
      </c>
      <c r="T122" s="75">
        <f t="shared" si="6"/>
        <v>302.0607513</v>
      </c>
      <c r="U122" s="75">
        <f t="shared" si="6"/>
        <v>120.8243005</v>
      </c>
      <c r="V122" s="75">
        <f t="shared" si="6"/>
        <v>422.8850518</v>
      </c>
      <c r="W122" s="75">
        <f t="shared" si="6"/>
        <v>724.945803</v>
      </c>
      <c r="X122" s="75">
        <f t="shared" si="6"/>
        <v>302.0607513</v>
      </c>
      <c r="Y122" s="75">
        <f t="shared" si="6"/>
        <v>0</v>
      </c>
      <c r="Z122" s="75">
        <f t="shared" si="6"/>
        <v>0</v>
      </c>
      <c r="AA122" s="75">
        <f t="shared" si="6"/>
        <v>0</v>
      </c>
      <c r="AB122" s="75">
        <f t="shared" si="6"/>
        <v>0</v>
      </c>
      <c r="AC122" s="75">
        <f t="shared" si="6"/>
        <v>422.8850518</v>
      </c>
      <c r="AD122" s="75">
        <f t="shared" si="6"/>
        <v>0</v>
      </c>
    </row>
    <row r="123">
      <c r="A123" s="57" t="s">
        <v>234</v>
      </c>
      <c r="B123" s="57" t="s">
        <v>1109</v>
      </c>
      <c r="C123" s="57" t="s">
        <v>1110</v>
      </c>
      <c r="D123" s="57">
        <v>2022.0</v>
      </c>
      <c r="E123" s="58">
        <v>23.0283132751</v>
      </c>
      <c r="F123" s="75">
        <f t="shared" ref="F123:AD123" si="7">F67/$E123</f>
        <v>43.42480442</v>
      </c>
      <c r="G123" s="75">
        <f t="shared" si="7"/>
        <v>0</v>
      </c>
      <c r="H123" s="75">
        <f t="shared" si="7"/>
        <v>1085.62011</v>
      </c>
      <c r="I123" s="75" t="str">
        <f t="shared" si="7"/>
        <v>#VALUE!</v>
      </c>
      <c r="J123" s="75">
        <f t="shared" si="7"/>
        <v>390.8232397</v>
      </c>
      <c r="K123" s="75">
        <f t="shared" si="7"/>
        <v>0</v>
      </c>
      <c r="L123" s="75">
        <f t="shared" si="7"/>
        <v>0</v>
      </c>
      <c r="M123" s="75">
        <f t="shared" si="7"/>
        <v>0</v>
      </c>
      <c r="N123" s="75">
        <f t="shared" si="7"/>
        <v>0</v>
      </c>
      <c r="O123" s="75">
        <f t="shared" si="7"/>
        <v>0</v>
      </c>
      <c r="P123" s="75">
        <f t="shared" si="7"/>
        <v>0</v>
      </c>
      <c r="Q123" s="75">
        <f t="shared" si="7"/>
        <v>0</v>
      </c>
      <c r="R123" s="75">
        <f t="shared" si="7"/>
        <v>0</v>
      </c>
      <c r="S123" s="75">
        <f t="shared" si="7"/>
        <v>217.1240221</v>
      </c>
      <c r="T123" s="75">
        <f t="shared" si="7"/>
        <v>0.1302744132</v>
      </c>
      <c r="U123" s="75">
        <f t="shared" si="7"/>
        <v>347.3984353</v>
      </c>
      <c r="V123" s="75">
        <f t="shared" si="7"/>
        <v>303.9736309</v>
      </c>
      <c r="W123" s="75">
        <f t="shared" si="7"/>
        <v>303.9736309</v>
      </c>
      <c r="X123" s="75">
        <f t="shared" si="7"/>
        <v>303.9736309</v>
      </c>
      <c r="Y123" s="75">
        <f t="shared" si="7"/>
        <v>0</v>
      </c>
      <c r="Z123" s="75">
        <f t="shared" si="7"/>
        <v>521.097653</v>
      </c>
      <c r="AA123" s="75">
        <f t="shared" si="7"/>
        <v>434.2480442</v>
      </c>
      <c r="AB123" s="75">
        <f t="shared" si="7"/>
        <v>217.1240221</v>
      </c>
      <c r="AC123" s="75">
        <f t="shared" si="7"/>
        <v>0</v>
      </c>
      <c r="AD123" s="75">
        <f t="shared" si="7"/>
        <v>0</v>
      </c>
    </row>
    <row r="124">
      <c r="A124" s="57" t="s">
        <v>234</v>
      </c>
      <c r="B124" s="57" t="s">
        <v>1133</v>
      </c>
      <c r="C124" s="57" t="s">
        <v>1134</v>
      </c>
      <c r="D124" s="57">
        <v>2025.0</v>
      </c>
      <c r="E124" s="58">
        <v>53.6279968265</v>
      </c>
      <c r="F124" s="75">
        <f t="shared" ref="F124:AD124" si="8">F68/$E124</f>
        <v>0</v>
      </c>
      <c r="G124" s="75">
        <f t="shared" si="8"/>
        <v>0</v>
      </c>
      <c r="H124" s="75">
        <f t="shared" si="8"/>
        <v>0</v>
      </c>
      <c r="I124" s="75" t="str">
        <f t="shared" si="8"/>
        <v>#VALUE!</v>
      </c>
      <c r="J124" s="75">
        <f t="shared" si="8"/>
        <v>186.4697656</v>
      </c>
      <c r="K124" s="75">
        <f t="shared" si="8"/>
        <v>186.4697656</v>
      </c>
      <c r="L124" s="75">
        <f t="shared" si="8"/>
        <v>0</v>
      </c>
      <c r="M124" s="75">
        <f t="shared" si="8"/>
        <v>372.9395313</v>
      </c>
      <c r="N124" s="75">
        <f t="shared" si="8"/>
        <v>372.9395313</v>
      </c>
      <c r="O124" s="75">
        <f t="shared" si="8"/>
        <v>279.7046485</v>
      </c>
      <c r="P124" s="75">
        <f t="shared" si="8"/>
        <v>186.4697656</v>
      </c>
      <c r="Q124" s="75">
        <f t="shared" si="8"/>
        <v>0</v>
      </c>
      <c r="R124" s="75">
        <f t="shared" si="8"/>
        <v>0</v>
      </c>
      <c r="S124" s="75">
        <f t="shared" si="8"/>
        <v>186.4697656</v>
      </c>
      <c r="T124" s="75">
        <f t="shared" si="8"/>
        <v>466.1744141</v>
      </c>
      <c r="U124" s="75">
        <f t="shared" si="8"/>
        <v>559.4092969</v>
      </c>
      <c r="V124" s="75">
        <f t="shared" si="8"/>
        <v>372.9395313</v>
      </c>
      <c r="W124" s="75">
        <f t="shared" si="8"/>
        <v>0</v>
      </c>
      <c r="X124" s="75">
        <f t="shared" si="8"/>
        <v>503.4683672</v>
      </c>
      <c r="Y124" s="75">
        <f t="shared" si="8"/>
        <v>559.4092969</v>
      </c>
      <c r="Z124" s="75">
        <f t="shared" si="8"/>
        <v>484.8213907</v>
      </c>
      <c r="AA124" s="75">
        <f t="shared" si="8"/>
        <v>0</v>
      </c>
      <c r="AB124" s="75">
        <f t="shared" si="8"/>
        <v>0</v>
      </c>
      <c r="AC124" s="75">
        <f t="shared" si="8"/>
        <v>0</v>
      </c>
      <c r="AD124" s="75">
        <f t="shared" si="8"/>
        <v>0</v>
      </c>
    </row>
    <row r="125">
      <c r="A125" s="57" t="s">
        <v>234</v>
      </c>
      <c r="B125" s="57" t="s">
        <v>1107</v>
      </c>
      <c r="C125" s="57" t="s">
        <v>1108</v>
      </c>
      <c r="D125" s="57">
        <v>2022.0</v>
      </c>
      <c r="E125" s="58">
        <v>52.1536105648</v>
      </c>
      <c r="F125" s="75">
        <f t="shared" ref="F125:AD125" si="9">F69/$E125</f>
        <v>134.2188954</v>
      </c>
      <c r="G125" s="75">
        <f t="shared" si="9"/>
        <v>0</v>
      </c>
      <c r="H125" s="75">
        <f t="shared" si="9"/>
        <v>191.7412791</v>
      </c>
      <c r="I125" s="75" t="str">
        <f t="shared" si="9"/>
        <v>#VALUE!</v>
      </c>
      <c r="J125" s="75">
        <f t="shared" si="9"/>
        <v>345.1343024</v>
      </c>
      <c r="K125" s="75">
        <f t="shared" si="9"/>
        <v>0</v>
      </c>
      <c r="L125" s="75">
        <f t="shared" si="9"/>
        <v>0</v>
      </c>
      <c r="M125" s="75">
        <f t="shared" si="9"/>
        <v>479.3531978</v>
      </c>
      <c r="N125" s="75">
        <f t="shared" si="9"/>
        <v>383.4825582</v>
      </c>
      <c r="O125" s="75">
        <f t="shared" si="9"/>
        <v>287.6119187</v>
      </c>
      <c r="P125" s="75">
        <f t="shared" si="9"/>
        <v>191.7412791</v>
      </c>
      <c r="Q125" s="75">
        <f t="shared" si="9"/>
        <v>0</v>
      </c>
      <c r="R125" s="75">
        <f t="shared" si="9"/>
        <v>0</v>
      </c>
      <c r="S125" s="75">
        <f t="shared" si="9"/>
        <v>479.3531978</v>
      </c>
      <c r="T125" s="75">
        <f t="shared" si="9"/>
        <v>383.4825582</v>
      </c>
      <c r="U125" s="75">
        <f t="shared" si="9"/>
        <v>115.0447675</v>
      </c>
      <c r="V125" s="75">
        <f t="shared" si="9"/>
        <v>115.0447675</v>
      </c>
      <c r="W125" s="75">
        <f t="shared" si="9"/>
        <v>153.3930233</v>
      </c>
      <c r="X125" s="75">
        <f t="shared" si="9"/>
        <v>0</v>
      </c>
      <c r="Y125" s="75">
        <f t="shared" si="9"/>
        <v>0</v>
      </c>
      <c r="Z125" s="75">
        <f t="shared" si="9"/>
        <v>594.3979652</v>
      </c>
      <c r="AA125" s="75">
        <f t="shared" si="9"/>
        <v>594.3979652</v>
      </c>
      <c r="AB125" s="75">
        <f t="shared" si="9"/>
        <v>287.6119187</v>
      </c>
      <c r="AC125" s="75">
        <f t="shared" si="9"/>
        <v>191.7412791</v>
      </c>
      <c r="AD125" s="75">
        <f t="shared" si="9"/>
        <v>0</v>
      </c>
    </row>
    <row r="126">
      <c r="A126" s="57" t="s">
        <v>234</v>
      </c>
      <c r="B126" s="57" t="s">
        <v>1151</v>
      </c>
      <c r="C126" s="57" t="s">
        <v>1152</v>
      </c>
      <c r="D126" s="57">
        <v>2026.0</v>
      </c>
      <c r="E126" s="58">
        <v>6.73257861682</v>
      </c>
      <c r="F126" s="75">
        <f t="shared" ref="F126:AD126" si="10">F70/$E126</f>
        <v>148.5314999</v>
      </c>
      <c r="G126" s="75">
        <f t="shared" si="10"/>
        <v>148.5314999</v>
      </c>
      <c r="H126" s="75">
        <f t="shared" si="10"/>
        <v>0</v>
      </c>
      <c r="I126" s="75" t="str">
        <f t="shared" si="10"/>
        <v>#VALUE!</v>
      </c>
      <c r="J126" s="75">
        <f t="shared" si="10"/>
        <v>0</v>
      </c>
      <c r="K126" s="75">
        <f t="shared" si="10"/>
        <v>0</v>
      </c>
      <c r="L126" s="75">
        <f t="shared" si="10"/>
        <v>0</v>
      </c>
      <c r="M126" s="75">
        <f t="shared" si="10"/>
        <v>0</v>
      </c>
      <c r="N126" s="75">
        <f t="shared" si="10"/>
        <v>0</v>
      </c>
      <c r="O126" s="75">
        <f t="shared" si="10"/>
        <v>445.5944996</v>
      </c>
      <c r="P126" s="75">
        <f t="shared" si="10"/>
        <v>445.5944996</v>
      </c>
      <c r="Q126" s="75">
        <f t="shared" si="10"/>
        <v>445.5944996</v>
      </c>
      <c r="R126" s="75">
        <f t="shared" si="10"/>
        <v>0</v>
      </c>
      <c r="S126" s="75">
        <f t="shared" si="10"/>
        <v>0</v>
      </c>
      <c r="T126" s="75">
        <f t="shared" si="10"/>
        <v>0</v>
      </c>
      <c r="U126" s="75">
        <f t="shared" si="10"/>
        <v>0</v>
      </c>
      <c r="V126" s="75">
        <f t="shared" si="10"/>
        <v>148.5314999</v>
      </c>
      <c r="W126" s="75">
        <f t="shared" si="10"/>
        <v>445.5944996</v>
      </c>
      <c r="X126" s="75">
        <f t="shared" si="10"/>
        <v>0</v>
      </c>
      <c r="Y126" s="75">
        <f t="shared" si="10"/>
        <v>0</v>
      </c>
      <c r="Z126" s="75">
        <f t="shared" si="10"/>
        <v>0</v>
      </c>
      <c r="AA126" s="75">
        <f t="shared" si="10"/>
        <v>519.8602496</v>
      </c>
      <c r="AB126" s="75">
        <f t="shared" si="10"/>
        <v>519.8602496</v>
      </c>
      <c r="AC126" s="75">
        <f t="shared" si="10"/>
        <v>297.0629998</v>
      </c>
      <c r="AD126" s="75">
        <f t="shared" si="10"/>
        <v>0</v>
      </c>
    </row>
    <row r="127">
      <c r="A127" s="57" t="s">
        <v>234</v>
      </c>
      <c r="B127" s="57" t="s">
        <v>1149</v>
      </c>
      <c r="C127" s="57" t="s">
        <v>1150</v>
      </c>
      <c r="D127" s="57">
        <v>2026.0</v>
      </c>
      <c r="E127" s="58">
        <v>21.9569411482</v>
      </c>
      <c r="F127" s="75">
        <f t="shared" ref="F127:AD127" si="11">F71/$E127</f>
        <v>0</v>
      </c>
      <c r="G127" s="75">
        <f t="shared" si="11"/>
        <v>0</v>
      </c>
      <c r="H127" s="75">
        <f t="shared" si="11"/>
        <v>683.1552673</v>
      </c>
      <c r="I127" s="75" t="str">
        <f t="shared" si="11"/>
        <v>#VALUE!</v>
      </c>
      <c r="J127" s="75">
        <f t="shared" si="11"/>
        <v>500.9805294</v>
      </c>
      <c r="K127" s="75">
        <f t="shared" si="11"/>
        <v>500.9805294</v>
      </c>
      <c r="L127" s="75">
        <f t="shared" si="11"/>
        <v>0</v>
      </c>
      <c r="M127" s="75">
        <f t="shared" si="11"/>
        <v>500.9805294</v>
      </c>
      <c r="N127" s="75">
        <f t="shared" si="11"/>
        <v>500.9805294</v>
      </c>
      <c r="O127" s="75">
        <f t="shared" si="11"/>
        <v>683.1552673</v>
      </c>
      <c r="P127" s="75">
        <f t="shared" si="11"/>
        <v>500.9805294</v>
      </c>
      <c r="Q127" s="75">
        <f t="shared" si="11"/>
        <v>273.2621069</v>
      </c>
      <c r="R127" s="75">
        <f t="shared" si="11"/>
        <v>0</v>
      </c>
      <c r="S127" s="75">
        <f t="shared" si="11"/>
        <v>182.174738</v>
      </c>
      <c r="T127" s="75">
        <f t="shared" si="11"/>
        <v>364.3494759</v>
      </c>
      <c r="U127" s="75">
        <f t="shared" si="11"/>
        <v>273.2621069</v>
      </c>
      <c r="V127" s="75">
        <f t="shared" si="11"/>
        <v>182.174738</v>
      </c>
      <c r="W127" s="75">
        <f t="shared" si="11"/>
        <v>91.08736898</v>
      </c>
      <c r="X127" s="75">
        <f t="shared" si="11"/>
        <v>500.9805294</v>
      </c>
      <c r="Y127" s="75">
        <f t="shared" si="11"/>
        <v>273.2621069</v>
      </c>
      <c r="Z127" s="75">
        <f t="shared" si="11"/>
        <v>318.8057914</v>
      </c>
      <c r="AA127" s="75">
        <f t="shared" si="11"/>
        <v>182.174738</v>
      </c>
      <c r="AB127" s="75">
        <f t="shared" si="11"/>
        <v>0</v>
      </c>
      <c r="AC127" s="75">
        <f t="shared" si="11"/>
        <v>0</v>
      </c>
      <c r="AD127" s="75">
        <f t="shared" si="11"/>
        <v>0</v>
      </c>
    </row>
    <row r="128">
      <c r="A128" s="57" t="s">
        <v>234</v>
      </c>
      <c r="B128" s="57" t="s">
        <v>1172</v>
      </c>
      <c r="C128" s="57" t="s">
        <v>1173</v>
      </c>
      <c r="D128" s="57" t="s">
        <v>1163</v>
      </c>
      <c r="E128" s="58">
        <v>14.3042001117</v>
      </c>
      <c r="F128" s="75">
        <f t="shared" ref="F128:AD128" si="12">F72/$E128</f>
        <v>419.4572191</v>
      </c>
      <c r="G128" s="75">
        <f t="shared" si="12"/>
        <v>139.819073</v>
      </c>
      <c r="H128" s="75">
        <f t="shared" si="12"/>
        <v>69.90953651</v>
      </c>
      <c r="I128" s="75" t="str">
        <f t="shared" si="12"/>
        <v>#VALUE!</v>
      </c>
      <c r="J128" s="75">
        <f t="shared" si="12"/>
        <v>0</v>
      </c>
      <c r="K128" s="75">
        <f t="shared" si="12"/>
        <v>0</v>
      </c>
      <c r="L128" s="75">
        <f t="shared" si="12"/>
        <v>0</v>
      </c>
      <c r="M128" s="75">
        <f t="shared" si="12"/>
        <v>0</v>
      </c>
      <c r="N128" s="75">
        <f t="shared" si="12"/>
        <v>0</v>
      </c>
      <c r="O128" s="75">
        <f t="shared" si="12"/>
        <v>419.4572191</v>
      </c>
      <c r="P128" s="75">
        <f t="shared" si="12"/>
        <v>559.2762921</v>
      </c>
      <c r="Q128" s="75">
        <f t="shared" si="12"/>
        <v>209.7286095</v>
      </c>
      <c r="R128" s="75">
        <f t="shared" si="12"/>
        <v>104.8643048</v>
      </c>
      <c r="S128" s="75">
        <f t="shared" si="12"/>
        <v>0</v>
      </c>
      <c r="T128" s="75">
        <f t="shared" si="12"/>
        <v>0</v>
      </c>
      <c r="U128" s="75">
        <f t="shared" si="12"/>
        <v>139.819073</v>
      </c>
      <c r="V128" s="75">
        <f t="shared" si="12"/>
        <v>139.819073</v>
      </c>
      <c r="W128" s="75">
        <f t="shared" si="12"/>
        <v>279.6381461</v>
      </c>
      <c r="X128" s="75">
        <f t="shared" si="12"/>
        <v>349.5476826</v>
      </c>
      <c r="Y128" s="75">
        <f t="shared" si="12"/>
        <v>0</v>
      </c>
      <c r="Z128" s="75">
        <f t="shared" si="12"/>
        <v>0</v>
      </c>
      <c r="AA128" s="75">
        <f t="shared" si="12"/>
        <v>0</v>
      </c>
      <c r="AB128" s="75">
        <f t="shared" si="12"/>
        <v>0</v>
      </c>
      <c r="AC128" s="75">
        <f t="shared" si="12"/>
        <v>0</v>
      </c>
      <c r="AD128" s="75">
        <f t="shared" si="12"/>
        <v>0</v>
      </c>
    </row>
    <row r="129">
      <c r="A129" s="57" t="s">
        <v>95</v>
      </c>
      <c r="B129" s="57" t="s">
        <v>1115</v>
      </c>
      <c r="C129" s="57" t="s">
        <v>1116</v>
      </c>
      <c r="D129" s="57">
        <v>2023.0</v>
      </c>
      <c r="E129" s="58">
        <v>30.7513054957</v>
      </c>
      <c r="F129" s="75">
        <f t="shared" ref="F129:AD129" si="13">F73/$E129</f>
        <v>0</v>
      </c>
      <c r="G129" s="75">
        <f t="shared" si="13"/>
        <v>0</v>
      </c>
      <c r="H129" s="75">
        <f t="shared" si="13"/>
        <v>0</v>
      </c>
      <c r="I129" s="75" t="str">
        <f t="shared" si="13"/>
        <v>#VALUE!</v>
      </c>
      <c r="J129" s="75">
        <f t="shared" si="13"/>
        <v>130.0757784</v>
      </c>
      <c r="K129" s="75">
        <f t="shared" si="13"/>
        <v>130.0757784</v>
      </c>
      <c r="L129" s="75">
        <f t="shared" si="13"/>
        <v>0</v>
      </c>
      <c r="M129" s="75">
        <f t="shared" si="13"/>
        <v>0</v>
      </c>
      <c r="N129" s="75">
        <f t="shared" si="13"/>
        <v>0</v>
      </c>
      <c r="O129" s="75">
        <f t="shared" si="13"/>
        <v>130.0757784</v>
      </c>
      <c r="P129" s="75">
        <f t="shared" si="13"/>
        <v>97.55683382</v>
      </c>
      <c r="Q129" s="75">
        <f t="shared" si="13"/>
        <v>0</v>
      </c>
      <c r="R129" s="75">
        <f t="shared" si="13"/>
        <v>0</v>
      </c>
      <c r="S129" s="75">
        <f t="shared" si="13"/>
        <v>65.03788921</v>
      </c>
      <c r="T129" s="75">
        <f t="shared" si="13"/>
        <v>195.1136676</v>
      </c>
      <c r="U129" s="75">
        <f t="shared" si="13"/>
        <v>65.03788921</v>
      </c>
      <c r="V129" s="75">
        <f t="shared" si="13"/>
        <v>97.55683382</v>
      </c>
      <c r="W129" s="75">
        <f t="shared" si="13"/>
        <v>243.8920846</v>
      </c>
      <c r="X129" s="75">
        <f t="shared" si="13"/>
        <v>0</v>
      </c>
      <c r="Y129" s="75">
        <f t="shared" si="13"/>
        <v>0</v>
      </c>
      <c r="Z129" s="75">
        <f t="shared" si="13"/>
        <v>0</v>
      </c>
      <c r="AA129" s="75">
        <f t="shared" si="13"/>
        <v>422.7462799</v>
      </c>
      <c r="AB129" s="75">
        <f t="shared" si="13"/>
        <v>682.8978367</v>
      </c>
      <c r="AC129" s="75">
        <f t="shared" si="13"/>
        <v>0</v>
      </c>
      <c r="AD129" s="75">
        <f t="shared" si="13"/>
        <v>0</v>
      </c>
    </row>
    <row r="130">
      <c r="A130" s="57" t="s">
        <v>95</v>
      </c>
      <c r="B130" s="57" t="s">
        <v>1125</v>
      </c>
      <c r="C130" s="57" t="s">
        <v>1126</v>
      </c>
      <c r="D130" s="57">
        <v>2024.0</v>
      </c>
      <c r="E130" s="58">
        <v>32.6661500852</v>
      </c>
      <c r="F130" s="75">
        <f t="shared" ref="F130:AD130" si="14">F74/$E130</f>
        <v>0</v>
      </c>
      <c r="G130" s="75">
        <f t="shared" si="14"/>
        <v>0</v>
      </c>
      <c r="H130" s="75">
        <f t="shared" si="14"/>
        <v>918.38187</v>
      </c>
      <c r="I130" s="75" t="str">
        <f t="shared" si="14"/>
        <v>#VALUE!</v>
      </c>
      <c r="J130" s="75">
        <f t="shared" si="14"/>
        <v>673.480038</v>
      </c>
      <c r="K130" s="75">
        <f t="shared" si="14"/>
        <v>153.063645</v>
      </c>
      <c r="L130" s="75">
        <f t="shared" si="14"/>
        <v>367.352748</v>
      </c>
      <c r="M130" s="75">
        <f t="shared" si="14"/>
        <v>551.029122</v>
      </c>
      <c r="N130" s="75">
        <f t="shared" si="14"/>
        <v>551.029122</v>
      </c>
      <c r="O130" s="75">
        <f t="shared" si="14"/>
        <v>0</v>
      </c>
      <c r="P130" s="75">
        <f t="shared" si="14"/>
        <v>0</v>
      </c>
      <c r="Q130" s="75">
        <f t="shared" si="14"/>
        <v>91.838187</v>
      </c>
      <c r="R130" s="75">
        <f t="shared" si="14"/>
        <v>459.190935</v>
      </c>
      <c r="S130" s="75">
        <f t="shared" si="14"/>
        <v>1102.058244</v>
      </c>
      <c r="T130" s="75">
        <f t="shared" si="14"/>
        <v>244.901832</v>
      </c>
      <c r="U130" s="75">
        <f t="shared" si="14"/>
        <v>0</v>
      </c>
      <c r="V130" s="75">
        <f t="shared" si="14"/>
        <v>91.838187</v>
      </c>
      <c r="W130" s="75">
        <f t="shared" si="14"/>
        <v>229.5954675</v>
      </c>
      <c r="X130" s="75">
        <f t="shared" si="14"/>
        <v>306.12729</v>
      </c>
      <c r="Y130" s="75">
        <f t="shared" si="14"/>
        <v>183.676374</v>
      </c>
      <c r="Z130" s="75">
        <f t="shared" si="14"/>
        <v>0</v>
      </c>
      <c r="AA130" s="75">
        <f t="shared" si="14"/>
        <v>0</v>
      </c>
      <c r="AB130" s="75">
        <f t="shared" si="14"/>
        <v>459.190935</v>
      </c>
      <c r="AC130" s="75">
        <f t="shared" si="14"/>
        <v>765.318225</v>
      </c>
      <c r="AD130" s="75">
        <f t="shared" si="14"/>
        <v>0</v>
      </c>
    </row>
    <row r="131">
      <c r="A131" s="57" t="s">
        <v>95</v>
      </c>
      <c r="B131" s="57" t="s">
        <v>1127</v>
      </c>
      <c r="C131" s="57" t="s">
        <v>1128</v>
      </c>
      <c r="D131" s="57">
        <v>2024.0</v>
      </c>
      <c r="E131" s="58">
        <v>8.50617469066</v>
      </c>
      <c r="F131" s="75">
        <f t="shared" ref="F131:AD131" si="15">F75/$E131</f>
        <v>0</v>
      </c>
      <c r="G131" s="75">
        <f t="shared" si="15"/>
        <v>0</v>
      </c>
      <c r="H131" s="75">
        <f t="shared" si="15"/>
        <v>705.3699481</v>
      </c>
      <c r="I131" s="75" t="str">
        <f t="shared" si="15"/>
        <v>#VALUE!</v>
      </c>
      <c r="J131" s="75">
        <f t="shared" si="15"/>
        <v>293.904145</v>
      </c>
      <c r="K131" s="75">
        <f t="shared" si="15"/>
        <v>117.561658</v>
      </c>
      <c r="L131" s="75">
        <f t="shared" si="15"/>
        <v>470.2466321</v>
      </c>
      <c r="M131" s="75">
        <f t="shared" si="15"/>
        <v>352.684974</v>
      </c>
      <c r="N131" s="75">
        <f t="shared" si="15"/>
        <v>0</v>
      </c>
      <c r="O131" s="75">
        <f t="shared" si="15"/>
        <v>0</v>
      </c>
      <c r="P131" s="75">
        <f t="shared" si="15"/>
        <v>0</v>
      </c>
      <c r="Q131" s="75">
        <f t="shared" si="15"/>
        <v>117.561658</v>
      </c>
      <c r="R131" s="75">
        <f t="shared" si="15"/>
        <v>411.4658031</v>
      </c>
      <c r="S131" s="75">
        <f t="shared" si="15"/>
        <v>411.4658031</v>
      </c>
      <c r="T131" s="75">
        <f t="shared" si="15"/>
        <v>235.123316</v>
      </c>
      <c r="U131" s="75">
        <f t="shared" si="15"/>
        <v>0</v>
      </c>
      <c r="V131" s="75">
        <f t="shared" si="15"/>
        <v>235.123316</v>
      </c>
      <c r="W131" s="75">
        <f t="shared" si="15"/>
        <v>352.684974</v>
      </c>
      <c r="X131" s="75">
        <f t="shared" si="15"/>
        <v>352.684974</v>
      </c>
      <c r="Y131" s="75">
        <f t="shared" si="15"/>
        <v>117.561658</v>
      </c>
      <c r="Z131" s="75">
        <f t="shared" si="15"/>
        <v>0</v>
      </c>
      <c r="AA131" s="75">
        <f t="shared" si="15"/>
        <v>0</v>
      </c>
      <c r="AB131" s="75">
        <f t="shared" si="15"/>
        <v>293.904145</v>
      </c>
      <c r="AC131" s="75">
        <f t="shared" si="15"/>
        <v>705.3699481</v>
      </c>
      <c r="AD131" s="75">
        <f t="shared" si="15"/>
        <v>0</v>
      </c>
    </row>
    <row r="132">
      <c r="A132" s="57" t="s">
        <v>95</v>
      </c>
      <c r="B132" s="57" t="s">
        <v>1157</v>
      </c>
      <c r="C132" s="57" t="s">
        <v>1158</v>
      </c>
      <c r="D132" s="57">
        <v>2027.0</v>
      </c>
      <c r="E132" s="58">
        <v>27.3393036699</v>
      </c>
      <c r="F132" s="75">
        <f t="shared" ref="F132:AD132" si="16">F76/$E132</f>
        <v>109.7321291</v>
      </c>
      <c r="G132" s="75">
        <f t="shared" si="16"/>
        <v>0</v>
      </c>
      <c r="H132" s="75">
        <f t="shared" si="16"/>
        <v>0</v>
      </c>
      <c r="I132" s="75" t="str">
        <f t="shared" si="16"/>
        <v>#VALUE!</v>
      </c>
      <c r="J132" s="75">
        <f t="shared" si="16"/>
        <v>438.9285164</v>
      </c>
      <c r="K132" s="75">
        <f t="shared" si="16"/>
        <v>365.7737637</v>
      </c>
      <c r="L132" s="75">
        <f t="shared" si="16"/>
        <v>0</v>
      </c>
      <c r="M132" s="75">
        <f t="shared" si="16"/>
        <v>0</v>
      </c>
      <c r="N132" s="75">
        <f t="shared" si="16"/>
        <v>548.6606455</v>
      </c>
      <c r="O132" s="75">
        <f t="shared" si="16"/>
        <v>548.6606455</v>
      </c>
      <c r="P132" s="75">
        <f t="shared" si="16"/>
        <v>146.3095055</v>
      </c>
      <c r="Q132" s="75">
        <f t="shared" si="16"/>
        <v>0</v>
      </c>
      <c r="R132" s="75">
        <f t="shared" si="16"/>
        <v>0</v>
      </c>
      <c r="S132" s="75">
        <f t="shared" si="16"/>
        <v>109.7321291</v>
      </c>
      <c r="T132" s="75">
        <f t="shared" si="16"/>
        <v>438.9285164</v>
      </c>
      <c r="U132" s="75">
        <f t="shared" si="16"/>
        <v>365.7737637</v>
      </c>
      <c r="V132" s="75">
        <f t="shared" si="16"/>
        <v>256.0416346</v>
      </c>
      <c r="W132" s="75">
        <f t="shared" si="16"/>
        <v>329.1963873</v>
      </c>
      <c r="X132" s="75">
        <f t="shared" si="16"/>
        <v>0</v>
      </c>
      <c r="Y132" s="75">
        <f t="shared" si="16"/>
        <v>0</v>
      </c>
      <c r="Z132" s="75">
        <f t="shared" si="16"/>
        <v>365.7737637</v>
      </c>
      <c r="AA132" s="75">
        <f t="shared" si="16"/>
        <v>365.7737637</v>
      </c>
      <c r="AB132" s="75">
        <f t="shared" si="16"/>
        <v>0</v>
      </c>
      <c r="AC132" s="75">
        <f t="shared" si="16"/>
        <v>0</v>
      </c>
      <c r="AD132" s="75">
        <f t="shared" si="16"/>
        <v>0</v>
      </c>
    </row>
    <row r="133">
      <c r="A133" s="57" t="s">
        <v>95</v>
      </c>
      <c r="B133" s="57" t="s">
        <v>1119</v>
      </c>
      <c r="C133" s="57" t="s">
        <v>1120</v>
      </c>
      <c r="D133" s="57">
        <v>2023.0</v>
      </c>
      <c r="E133" s="58">
        <v>33.5305766338</v>
      </c>
      <c r="F133" s="75">
        <f t="shared" ref="F133:AD133" si="17">F77/$E133</f>
        <v>0</v>
      </c>
      <c r="G133" s="75">
        <f t="shared" si="17"/>
        <v>0</v>
      </c>
      <c r="H133" s="75">
        <f t="shared" si="17"/>
        <v>0</v>
      </c>
      <c r="I133" s="75" t="str">
        <f t="shared" si="17"/>
        <v>#VALUE!</v>
      </c>
      <c r="J133" s="75">
        <f t="shared" si="17"/>
        <v>715.7646068</v>
      </c>
      <c r="K133" s="75">
        <f t="shared" si="17"/>
        <v>149.1176264</v>
      </c>
      <c r="L133" s="75">
        <f t="shared" si="17"/>
        <v>596.4705057</v>
      </c>
      <c r="M133" s="75">
        <f t="shared" si="17"/>
        <v>596.4705057</v>
      </c>
      <c r="N133" s="75">
        <f t="shared" si="17"/>
        <v>447.3528792</v>
      </c>
      <c r="O133" s="75">
        <f t="shared" si="17"/>
        <v>178.9411517</v>
      </c>
      <c r="P133" s="75">
        <f t="shared" si="17"/>
        <v>268.4117275</v>
      </c>
      <c r="Q133" s="75">
        <f t="shared" si="17"/>
        <v>417.529354</v>
      </c>
      <c r="R133" s="75">
        <f t="shared" si="17"/>
        <v>208.764677</v>
      </c>
      <c r="S133" s="75">
        <f t="shared" si="17"/>
        <v>208.764677</v>
      </c>
      <c r="T133" s="75">
        <f t="shared" si="17"/>
        <v>0</v>
      </c>
      <c r="U133" s="75">
        <f t="shared" si="17"/>
        <v>0</v>
      </c>
      <c r="V133" s="75">
        <f t="shared" si="17"/>
        <v>745.5881321</v>
      </c>
      <c r="W133" s="75">
        <f t="shared" si="17"/>
        <v>447.3528792</v>
      </c>
      <c r="X133" s="75">
        <f t="shared" si="17"/>
        <v>357.8823034</v>
      </c>
      <c r="Y133" s="75">
        <f t="shared" si="17"/>
        <v>0</v>
      </c>
      <c r="Z133" s="75">
        <f t="shared" si="17"/>
        <v>0</v>
      </c>
      <c r="AA133" s="75">
        <f t="shared" si="17"/>
        <v>656.1175562</v>
      </c>
      <c r="AB133" s="75">
        <f t="shared" si="17"/>
        <v>596.4705057</v>
      </c>
      <c r="AC133" s="75">
        <f t="shared" si="17"/>
        <v>447.3528792</v>
      </c>
      <c r="AD133" s="75">
        <f t="shared" si="17"/>
        <v>0</v>
      </c>
    </row>
    <row r="134">
      <c r="A134" s="57" t="s">
        <v>95</v>
      </c>
      <c r="B134" s="57" t="s">
        <v>1129</v>
      </c>
      <c r="C134" s="57" t="s">
        <v>1130</v>
      </c>
      <c r="D134" s="57">
        <v>2025.0</v>
      </c>
      <c r="E134" s="58">
        <v>21.6827396902</v>
      </c>
      <c r="F134" s="75">
        <f t="shared" ref="F134:AD134" si="18">F78/$E134</f>
        <v>92.23926628</v>
      </c>
      <c r="G134" s="75">
        <f t="shared" si="18"/>
        <v>0</v>
      </c>
      <c r="H134" s="75">
        <f t="shared" si="18"/>
        <v>0</v>
      </c>
      <c r="I134" s="75" t="str">
        <f t="shared" si="18"/>
        <v>#VALUE!</v>
      </c>
      <c r="J134" s="75">
        <f t="shared" si="18"/>
        <v>0</v>
      </c>
      <c r="K134" s="75">
        <f t="shared" si="18"/>
        <v>138.3588994</v>
      </c>
      <c r="L134" s="75">
        <f t="shared" si="18"/>
        <v>507.3159645</v>
      </c>
      <c r="M134" s="75">
        <f t="shared" si="18"/>
        <v>507.3159645</v>
      </c>
      <c r="N134" s="75">
        <f t="shared" si="18"/>
        <v>276.7177988</v>
      </c>
      <c r="O134" s="75">
        <f t="shared" si="18"/>
        <v>0</v>
      </c>
      <c r="P134" s="75">
        <f t="shared" si="18"/>
        <v>0</v>
      </c>
      <c r="Q134" s="75">
        <f t="shared" si="18"/>
        <v>0</v>
      </c>
      <c r="R134" s="75">
        <f t="shared" si="18"/>
        <v>0</v>
      </c>
      <c r="S134" s="75">
        <f t="shared" si="18"/>
        <v>276.7177988</v>
      </c>
      <c r="T134" s="75">
        <f t="shared" si="18"/>
        <v>368.9570651</v>
      </c>
      <c r="U134" s="75">
        <f t="shared" si="18"/>
        <v>276.7177988</v>
      </c>
      <c r="V134" s="75">
        <f t="shared" si="18"/>
        <v>0</v>
      </c>
      <c r="W134" s="75">
        <f t="shared" si="18"/>
        <v>138.3588994</v>
      </c>
      <c r="X134" s="75">
        <f t="shared" si="18"/>
        <v>322.837432</v>
      </c>
      <c r="Y134" s="75">
        <f t="shared" si="18"/>
        <v>322.837432</v>
      </c>
      <c r="Z134" s="75">
        <f t="shared" si="18"/>
        <v>0</v>
      </c>
      <c r="AA134" s="75">
        <f t="shared" si="18"/>
        <v>0</v>
      </c>
      <c r="AB134" s="75">
        <f t="shared" si="18"/>
        <v>0</v>
      </c>
      <c r="AC134" s="75">
        <f t="shared" si="18"/>
        <v>0</v>
      </c>
      <c r="AD134" s="75">
        <f t="shared" si="18"/>
        <v>0</v>
      </c>
    </row>
    <row r="135">
      <c r="A135" s="57" t="s">
        <v>95</v>
      </c>
      <c r="B135" s="57" t="s">
        <v>1168</v>
      </c>
      <c r="C135" s="57" t="s">
        <v>1169</v>
      </c>
      <c r="D135" s="57" t="s">
        <v>1163</v>
      </c>
      <c r="E135" s="58">
        <v>8.73790091166</v>
      </c>
      <c r="F135" s="75">
        <f t="shared" ref="F135:AD135" si="19">F79/$E135</f>
        <v>686.6637721</v>
      </c>
      <c r="G135" s="75">
        <f t="shared" si="19"/>
        <v>572.2198101</v>
      </c>
      <c r="H135" s="75">
        <f t="shared" si="19"/>
        <v>514.9978291</v>
      </c>
      <c r="I135" s="75" t="str">
        <f t="shared" si="19"/>
        <v>#VALUE!</v>
      </c>
      <c r="J135" s="75">
        <f t="shared" si="19"/>
        <v>0</v>
      </c>
      <c r="K135" s="75">
        <f t="shared" si="19"/>
        <v>0</v>
      </c>
      <c r="L135" s="75">
        <f t="shared" si="19"/>
        <v>0</v>
      </c>
      <c r="M135" s="75">
        <f t="shared" si="19"/>
        <v>0</v>
      </c>
      <c r="N135" s="75">
        <f t="shared" si="19"/>
        <v>0</v>
      </c>
      <c r="O135" s="75">
        <f t="shared" si="19"/>
        <v>0</v>
      </c>
      <c r="P135" s="75">
        <f t="shared" si="19"/>
        <v>0</v>
      </c>
      <c r="Q135" s="75">
        <f t="shared" si="19"/>
        <v>0</v>
      </c>
      <c r="R135" s="75">
        <f t="shared" si="19"/>
        <v>0</v>
      </c>
      <c r="S135" s="75">
        <f t="shared" si="19"/>
        <v>0</v>
      </c>
      <c r="T135" s="75">
        <f t="shared" si="19"/>
        <v>0</v>
      </c>
      <c r="U135" s="75">
        <f t="shared" si="19"/>
        <v>114.443962</v>
      </c>
      <c r="V135" s="75">
        <f t="shared" si="19"/>
        <v>0</v>
      </c>
      <c r="W135" s="75">
        <f t="shared" si="19"/>
        <v>0</v>
      </c>
      <c r="X135" s="75">
        <f t="shared" si="19"/>
        <v>0</v>
      </c>
      <c r="Y135" s="75">
        <f t="shared" si="19"/>
        <v>0</v>
      </c>
      <c r="Z135" s="75">
        <f t="shared" si="19"/>
        <v>0</v>
      </c>
      <c r="AA135" s="75">
        <f t="shared" si="19"/>
        <v>0</v>
      </c>
      <c r="AB135" s="75">
        <f t="shared" si="19"/>
        <v>0</v>
      </c>
      <c r="AC135" s="75">
        <f t="shared" si="19"/>
        <v>0</v>
      </c>
      <c r="AD135" s="75">
        <f t="shared" si="19"/>
        <v>0</v>
      </c>
    </row>
    <row r="136">
      <c r="A136" s="57" t="s">
        <v>95</v>
      </c>
      <c r="B136" s="57" t="s">
        <v>1101</v>
      </c>
      <c r="C136" s="57" t="s">
        <v>1102</v>
      </c>
      <c r="D136" s="57">
        <v>2022.0</v>
      </c>
      <c r="E136" s="58">
        <v>7.2930020469</v>
      </c>
      <c r="F136" s="75">
        <f t="shared" ref="F136:AD136" si="20">F80/$E136</f>
        <v>137.1177457</v>
      </c>
      <c r="G136" s="75">
        <f t="shared" si="20"/>
        <v>137.1177457</v>
      </c>
      <c r="H136" s="75">
        <f t="shared" si="20"/>
        <v>411.3532371</v>
      </c>
      <c r="I136" s="75" t="str">
        <f t="shared" si="20"/>
        <v>#VALUE!</v>
      </c>
      <c r="J136" s="75">
        <f t="shared" si="20"/>
        <v>0</v>
      </c>
      <c r="K136" s="75">
        <f t="shared" si="20"/>
        <v>0</v>
      </c>
      <c r="L136" s="75">
        <f t="shared" si="20"/>
        <v>0</v>
      </c>
      <c r="M136" s="75">
        <f t="shared" si="20"/>
        <v>0</v>
      </c>
      <c r="N136" s="75">
        <f t="shared" si="20"/>
        <v>0</v>
      </c>
      <c r="O136" s="75">
        <f t="shared" si="20"/>
        <v>0</v>
      </c>
      <c r="P136" s="75">
        <f t="shared" si="20"/>
        <v>0</v>
      </c>
      <c r="Q136" s="75">
        <f t="shared" si="20"/>
        <v>137.1177457</v>
      </c>
      <c r="R136" s="75">
        <f t="shared" si="20"/>
        <v>342.7943642</v>
      </c>
      <c r="S136" s="75">
        <f t="shared" si="20"/>
        <v>479.9121099</v>
      </c>
      <c r="T136" s="75">
        <f t="shared" si="20"/>
        <v>137.1177457</v>
      </c>
      <c r="U136" s="75">
        <f t="shared" si="20"/>
        <v>274.2354914</v>
      </c>
      <c r="V136" s="75">
        <f t="shared" si="20"/>
        <v>0</v>
      </c>
      <c r="W136" s="75">
        <f t="shared" si="20"/>
        <v>0</v>
      </c>
      <c r="X136" s="75">
        <f t="shared" si="20"/>
        <v>274.2354914</v>
      </c>
      <c r="Y136" s="75">
        <f t="shared" si="20"/>
        <v>0</v>
      </c>
      <c r="Z136" s="75">
        <f t="shared" si="20"/>
        <v>274.2354914</v>
      </c>
      <c r="AA136" s="75">
        <f t="shared" si="20"/>
        <v>274.2354914</v>
      </c>
      <c r="AB136" s="75">
        <f t="shared" si="20"/>
        <v>137.1177457</v>
      </c>
      <c r="AC136" s="75">
        <f t="shared" si="20"/>
        <v>0</v>
      </c>
      <c r="AD136" s="75">
        <f t="shared" si="20"/>
        <v>0</v>
      </c>
    </row>
    <row r="137">
      <c r="A137" s="57" t="s">
        <v>95</v>
      </c>
      <c r="B137" s="57" t="s">
        <v>1105</v>
      </c>
      <c r="C137" s="57" t="s">
        <v>1106</v>
      </c>
      <c r="D137" s="57">
        <v>2022.0</v>
      </c>
      <c r="E137" s="58">
        <v>21.6269020049</v>
      </c>
      <c r="F137" s="75">
        <f t="shared" ref="F137:AD137" si="21">F81/$E137</f>
        <v>115.5967692</v>
      </c>
      <c r="G137" s="75">
        <f t="shared" si="21"/>
        <v>0</v>
      </c>
      <c r="H137" s="75">
        <f t="shared" si="21"/>
        <v>693.5806153</v>
      </c>
      <c r="I137" s="75" t="str">
        <f t="shared" si="21"/>
        <v>#VALUE!</v>
      </c>
      <c r="J137" s="75">
        <f t="shared" si="21"/>
        <v>369.9096615</v>
      </c>
      <c r="K137" s="75">
        <f t="shared" si="21"/>
        <v>0</v>
      </c>
      <c r="L137" s="75">
        <f t="shared" si="21"/>
        <v>0</v>
      </c>
      <c r="M137" s="75">
        <f t="shared" si="21"/>
        <v>0</v>
      </c>
      <c r="N137" s="75">
        <f t="shared" si="21"/>
        <v>0</v>
      </c>
      <c r="O137" s="75">
        <f t="shared" si="21"/>
        <v>0</v>
      </c>
      <c r="P137" s="75">
        <f t="shared" si="21"/>
        <v>554.8644923</v>
      </c>
      <c r="Q137" s="75">
        <f t="shared" si="21"/>
        <v>369.9096615</v>
      </c>
      <c r="R137" s="75">
        <f t="shared" si="21"/>
        <v>184.9548308</v>
      </c>
      <c r="S137" s="75">
        <f t="shared" si="21"/>
        <v>0</v>
      </c>
      <c r="T137" s="75">
        <f t="shared" si="21"/>
        <v>0</v>
      </c>
      <c r="U137" s="75">
        <f t="shared" si="21"/>
        <v>277.4322461</v>
      </c>
      <c r="V137" s="75">
        <f t="shared" si="21"/>
        <v>693.5806153</v>
      </c>
      <c r="W137" s="75">
        <f t="shared" si="21"/>
        <v>693.5806153</v>
      </c>
      <c r="X137" s="75">
        <f t="shared" si="21"/>
        <v>0</v>
      </c>
      <c r="Y137" s="75">
        <f t="shared" si="21"/>
        <v>0</v>
      </c>
      <c r="Z137" s="75">
        <f t="shared" si="21"/>
        <v>369.9096615</v>
      </c>
      <c r="AA137" s="75">
        <f t="shared" si="21"/>
        <v>554.8644923</v>
      </c>
      <c r="AB137" s="75">
        <f t="shared" si="21"/>
        <v>369.9096615</v>
      </c>
      <c r="AC137" s="75">
        <f t="shared" si="21"/>
        <v>0</v>
      </c>
      <c r="AD137" s="75">
        <f t="shared" si="21"/>
        <v>0</v>
      </c>
    </row>
    <row r="138">
      <c r="A138" s="57" t="s">
        <v>95</v>
      </c>
      <c r="B138" s="57" t="s">
        <v>1093</v>
      </c>
      <c r="C138" s="57" t="s">
        <v>1094</v>
      </c>
      <c r="D138" s="57">
        <v>2021.0</v>
      </c>
      <c r="E138" s="58">
        <v>31.0370262599</v>
      </c>
      <c r="F138" s="75">
        <f t="shared" ref="F138:AD138" si="22">F82/$E138</f>
        <v>0</v>
      </c>
      <c r="G138" s="75">
        <f t="shared" si="22"/>
        <v>0</v>
      </c>
      <c r="H138" s="75">
        <f t="shared" si="22"/>
        <v>257.7566527</v>
      </c>
      <c r="I138" s="75" t="str">
        <f t="shared" si="22"/>
        <v>#VALUE!</v>
      </c>
      <c r="J138" s="75">
        <f t="shared" si="22"/>
        <v>386.6349791</v>
      </c>
      <c r="K138" s="75">
        <f t="shared" si="22"/>
        <v>128.8783264</v>
      </c>
      <c r="L138" s="75">
        <f t="shared" si="22"/>
        <v>0</v>
      </c>
      <c r="M138" s="75">
        <f t="shared" si="22"/>
        <v>0</v>
      </c>
      <c r="N138" s="75">
        <f t="shared" si="22"/>
        <v>0</v>
      </c>
      <c r="O138" s="75">
        <f t="shared" si="22"/>
        <v>225.5370712</v>
      </c>
      <c r="P138" s="75">
        <f t="shared" si="22"/>
        <v>579.9524687</v>
      </c>
      <c r="Q138" s="75">
        <f t="shared" si="22"/>
        <v>322.1958159</v>
      </c>
      <c r="R138" s="75">
        <f t="shared" si="22"/>
        <v>257.7566527</v>
      </c>
      <c r="S138" s="75">
        <f t="shared" si="22"/>
        <v>96.65874478</v>
      </c>
      <c r="T138" s="75">
        <f t="shared" si="22"/>
        <v>96.65874478</v>
      </c>
      <c r="U138" s="75">
        <f t="shared" si="22"/>
        <v>193.3174896</v>
      </c>
      <c r="V138" s="75">
        <f t="shared" si="22"/>
        <v>193.3174896</v>
      </c>
      <c r="W138" s="75">
        <f t="shared" si="22"/>
        <v>0</v>
      </c>
      <c r="X138" s="75">
        <f t="shared" si="22"/>
        <v>0</v>
      </c>
      <c r="Y138" s="75">
        <f t="shared" si="22"/>
        <v>322.1958159</v>
      </c>
      <c r="Z138" s="75">
        <f t="shared" si="22"/>
        <v>579.9524687</v>
      </c>
      <c r="AA138" s="75">
        <f t="shared" si="22"/>
        <v>579.9524687</v>
      </c>
      <c r="AB138" s="75">
        <f t="shared" si="22"/>
        <v>322.1958159</v>
      </c>
      <c r="AC138" s="75">
        <f t="shared" si="22"/>
        <v>0</v>
      </c>
      <c r="AD138" s="75">
        <f t="shared" si="22"/>
        <v>0</v>
      </c>
    </row>
    <row r="139">
      <c r="A139" s="57" t="s">
        <v>95</v>
      </c>
      <c r="B139" s="57" t="s">
        <v>1123</v>
      </c>
      <c r="C139" s="57" t="s">
        <v>1124</v>
      </c>
      <c r="D139" s="57">
        <v>2024.0</v>
      </c>
      <c r="E139" s="58">
        <v>21.0156820939</v>
      </c>
      <c r="F139" s="75">
        <f t="shared" ref="F139:AD139" si="23">F83/$E139</f>
        <v>237.9175693</v>
      </c>
      <c r="G139" s="75">
        <f t="shared" si="23"/>
        <v>237.9175693</v>
      </c>
      <c r="H139" s="75">
        <f t="shared" si="23"/>
        <v>237.9175693</v>
      </c>
      <c r="I139" s="75" t="str">
        <f t="shared" si="23"/>
        <v>#VALUE!</v>
      </c>
      <c r="J139" s="75">
        <f t="shared" si="23"/>
        <v>713.7527078</v>
      </c>
      <c r="K139" s="75">
        <f t="shared" si="23"/>
        <v>713.7527078</v>
      </c>
      <c r="L139" s="75">
        <f t="shared" si="23"/>
        <v>475.8351385</v>
      </c>
      <c r="M139" s="75">
        <f t="shared" si="23"/>
        <v>380.6681108</v>
      </c>
      <c r="N139" s="75">
        <f t="shared" si="23"/>
        <v>0</v>
      </c>
      <c r="O139" s="75">
        <f t="shared" si="23"/>
        <v>0</v>
      </c>
      <c r="P139" s="75">
        <f t="shared" si="23"/>
        <v>380.6681108</v>
      </c>
      <c r="Q139" s="75">
        <f t="shared" si="23"/>
        <v>761.3362216</v>
      </c>
      <c r="R139" s="75">
        <f t="shared" si="23"/>
        <v>285.5010831</v>
      </c>
      <c r="S139" s="75">
        <f t="shared" si="23"/>
        <v>237.9175693</v>
      </c>
      <c r="T139" s="75">
        <f t="shared" si="23"/>
        <v>0</v>
      </c>
      <c r="U139" s="75">
        <f t="shared" si="23"/>
        <v>0</v>
      </c>
      <c r="V139" s="75">
        <f t="shared" si="23"/>
        <v>142.7505416</v>
      </c>
      <c r="W139" s="75">
        <f t="shared" si="23"/>
        <v>713.7527078</v>
      </c>
      <c r="X139" s="75">
        <f t="shared" si="23"/>
        <v>523.4186524</v>
      </c>
      <c r="Y139" s="75">
        <f t="shared" si="23"/>
        <v>237.9175693</v>
      </c>
      <c r="Z139" s="75">
        <f t="shared" si="23"/>
        <v>0</v>
      </c>
      <c r="AA139" s="75">
        <f t="shared" si="23"/>
        <v>142.7505416</v>
      </c>
      <c r="AB139" s="75">
        <f t="shared" si="23"/>
        <v>571.0021662</v>
      </c>
      <c r="AC139" s="75">
        <f t="shared" si="23"/>
        <v>571.0021662</v>
      </c>
      <c r="AD139" s="75">
        <f t="shared" si="23"/>
        <v>0</v>
      </c>
    </row>
    <row r="140">
      <c r="A140" s="57" t="s">
        <v>234</v>
      </c>
      <c r="B140" s="57" t="s">
        <v>1155</v>
      </c>
      <c r="C140" s="57" t="s">
        <v>1156</v>
      </c>
      <c r="D140" s="57">
        <v>2026.0</v>
      </c>
      <c r="E140" s="58">
        <v>18.753786413</v>
      </c>
      <c r="F140" s="75">
        <f t="shared" ref="F140:AD140" si="24">F84/$E140</f>
        <v>0</v>
      </c>
      <c r="G140" s="75">
        <f t="shared" si="24"/>
        <v>0</v>
      </c>
      <c r="H140" s="75">
        <f t="shared" si="24"/>
        <v>0</v>
      </c>
      <c r="I140" s="75" t="str">
        <f t="shared" si="24"/>
        <v>#VALUE!</v>
      </c>
      <c r="J140" s="75">
        <f t="shared" si="24"/>
        <v>159.9676958</v>
      </c>
      <c r="K140" s="75">
        <f t="shared" si="24"/>
        <v>106.6451305</v>
      </c>
      <c r="L140" s="75">
        <f t="shared" si="24"/>
        <v>0</v>
      </c>
      <c r="M140" s="75">
        <f t="shared" si="24"/>
        <v>0</v>
      </c>
      <c r="N140" s="75">
        <f t="shared" si="24"/>
        <v>0</v>
      </c>
      <c r="O140" s="75">
        <f t="shared" si="24"/>
        <v>213.2902611</v>
      </c>
      <c r="P140" s="75">
        <f t="shared" si="24"/>
        <v>533.2256527</v>
      </c>
      <c r="Q140" s="75">
        <f t="shared" si="24"/>
        <v>533.2256527</v>
      </c>
      <c r="R140" s="75">
        <f t="shared" si="24"/>
        <v>159.9676958</v>
      </c>
      <c r="S140" s="75">
        <f t="shared" si="24"/>
        <v>0</v>
      </c>
      <c r="T140" s="75">
        <f t="shared" si="24"/>
        <v>0</v>
      </c>
      <c r="U140" s="75">
        <f t="shared" si="24"/>
        <v>159.9676958</v>
      </c>
      <c r="V140" s="75">
        <f t="shared" si="24"/>
        <v>266.6128263</v>
      </c>
      <c r="W140" s="75">
        <f t="shared" si="24"/>
        <v>319.9353916</v>
      </c>
      <c r="X140" s="75">
        <f t="shared" si="24"/>
        <v>426.5805221</v>
      </c>
      <c r="Y140" s="75">
        <f t="shared" si="24"/>
        <v>213.2902611</v>
      </c>
      <c r="Z140" s="75">
        <f t="shared" si="24"/>
        <v>0</v>
      </c>
      <c r="AA140" s="75">
        <f t="shared" si="24"/>
        <v>0</v>
      </c>
      <c r="AB140" s="75">
        <f t="shared" si="24"/>
        <v>0</v>
      </c>
      <c r="AC140" s="75">
        <f t="shared" si="24"/>
        <v>0</v>
      </c>
      <c r="AD140" s="75">
        <f t="shared" si="24"/>
        <v>0</v>
      </c>
    </row>
    <row r="141">
      <c r="A141" s="57" t="s">
        <v>234</v>
      </c>
      <c r="B141" s="57" t="s">
        <v>1170</v>
      </c>
      <c r="C141" s="57" t="s">
        <v>1171</v>
      </c>
      <c r="D141" s="57" t="s">
        <v>1163</v>
      </c>
      <c r="E141" s="58">
        <v>10.9539335449</v>
      </c>
      <c r="F141" s="75">
        <f t="shared" ref="F141:AD141" si="25">F85/$E141</f>
        <v>456.4570325</v>
      </c>
      <c r="G141" s="75">
        <f t="shared" si="25"/>
        <v>0</v>
      </c>
      <c r="H141" s="75">
        <f t="shared" si="25"/>
        <v>0</v>
      </c>
      <c r="I141" s="75" t="str">
        <f t="shared" si="25"/>
        <v>#VALUE!</v>
      </c>
      <c r="J141" s="75">
        <f t="shared" si="25"/>
        <v>136.9371097</v>
      </c>
      <c r="K141" s="75">
        <f t="shared" si="25"/>
        <v>91.2914065</v>
      </c>
      <c r="L141" s="75">
        <f t="shared" si="25"/>
        <v>0</v>
      </c>
      <c r="M141" s="75">
        <f t="shared" si="25"/>
        <v>0</v>
      </c>
      <c r="N141" s="75">
        <f t="shared" si="25"/>
        <v>0</v>
      </c>
      <c r="O141" s="75">
        <f t="shared" si="25"/>
        <v>228.2285162</v>
      </c>
      <c r="P141" s="75">
        <f t="shared" si="25"/>
        <v>228.2285162</v>
      </c>
      <c r="Q141" s="75">
        <f t="shared" si="25"/>
        <v>0</v>
      </c>
      <c r="R141" s="75">
        <f t="shared" si="25"/>
        <v>0</v>
      </c>
      <c r="S141" s="75">
        <f t="shared" si="25"/>
        <v>0</v>
      </c>
      <c r="T141" s="75">
        <f t="shared" si="25"/>
        <v>0</v>
      </c>
      <c r="U141" s="75">
        <f t="shared" si="25"/>
        <v>0</v>
      </c>
      <c r="V141" s="75">
        <f t="shared" si="25"/>
        <v>91.2914065</v>
      </c>
      <c r="W141" s="75">
        <f t="shared" si="25"/>
        <v>0</v>
      </c>
      <c r="X141" s="75">
        <f t="shared" si="25"/>
        <v>0</v>
      </c>
      <c r="Y141" s="75">
        <f t="shared" si="25"/>
        <v>0</v>
      </c>
      <c r="Z141" s="75">
        <f t="shared" si="25"/>
        <v>0</v>
      </c>
      <c r="AA141" s="75">
        <f t="shared" si="25"/>
        <v>0</v>
      </c>
      <c r="AB141" s="75">
        <f t="shared" si="25"/>
        <v>0</v>
      </c>
      <c r="AC141" s="75">
        <f t="shared" si="25"/>
        <v>0</v>
      </c>
      <c r="AD141" s="75">
        <f t="shared" si="25"/>
        <v>0</v>
      </c>
    </row>
    <row r="142">
      <c r="A142" s="57" t="s">
        <v>234</v>
      </c>
      <c r="B142" s="57" t="s">
        <v>1174</v>
      </c>
      <c r="C142" s="57" t="s">
        <v>1175</v>
      </c>
      <c r="D142" s="57" t="s">
        <v>1163</v>
      </c>
      <c r="E142" s="58">
        <v>4.64954341293</v>
      </c>
      <c r="F142" s="75">
        <f t="shared" ref="F142:AD142" si="26">F86/$E142</f>
        <v>1075.374409</v>
      </c>
      <c r="G142" s="75">
        <f t="shared" si="26"/>
        <v>215.0748818</v>
      </c>
      <c r="H142" s="75">
        <f t="shared" si="26"/>
        <v>0</v>
      </c>
      <c r="I142" s="75" t="str">
        <f t="shared" si="26"/>
        <v>#VALUE!</v>
      </c>
      <c r="J142" s="75">
        <f t="shared" si="26"/>
        <v>0</v>
      </c>
      <c r="K142" s="75">
        <f t="shared" si="26"/>
        <v>0</v>
      </c>
      <c r="L142" s="75">
        <f t="shared" si="26"/>
        <v>0</v>
      </c>
      <c r="M142" s="75">
        <f t="shared" si="26"/>
        <v>0</v>
      </c>
      <c r="N142" s="75">
        <f t="shared" si="26"/>
        <v>0</v>
      </c>
      <c r="O142" s="75">
        <f t="shared" si="26"/>
        <v>430.1497636</v>
      </c>
      <c r="P142" s="75">
        <f t="shared" si="26"/>
        <v>430.1497636</v>
      </c>
      <c r="Q142" s="75">
        <f t="shared" si="26"/>
        <v>0</v>
      </c>
      <c r="R142" s="75">
        <f t="shared" si="26"/>
        <v>0</v>
      </c>
      <c r="S142" s="75">
        <f t="shared" si="26"/>
        <v>0</v>
      </c>
      <c r="T142" s="75">
        <f t="shared" si="26"/>
        <v>0</v>
      </c>
      <c r="U142" s="75">
        <f t="shared" si="26"/>
        <v>0</v>
      </c>
      <c r="V142" s="75">
        <f t="shared" si="26"/>
        <v>0</v>
      </c>
      <c r="W142" s="75">
        <f t="shared" si="26"/>
        <v>0</v>
      </c>
      <c r="X142" s="75">
        <f t="shared" si="26"/>
        <v>0</v>
      </c>
      <c r="Y142" s="75">
        <f t="shared" si="26"/>
        <v>0</v>
      </c>
      <c r="Z142" s="75">
        <f t="shared" si="26"/>
        <v>0</v>
      </c>
      <c r="AA142" s="75">
        <f t="shared" si="26"/>
        <v>0</v>
      </c>
      <c r="AB142" s="75">
        <f t="shared" si="26"/>
        <v>0</v>
      </c>
      <c r="AC142" s="75">
        <f t="shared" si="26"/>
        <v>0</v>
      </c>
      <c r="AD142" s="75">
        <f t="shared" si="26"/>
        <v>0</v>
      </c>
    </row>
    <row r="143">
      <c r="A143" s="57" t="s">
        <v>116</v>
      </c>
      <c r="B143" s="57" t="s">
        <v>1190</v>
      </c>
      <c r="C143" s="57" t="s">
        <v>1191</v>
      </c>
      <c r="D143" s="57" t="s">
        <v>1163</v>
      </c>
      <c r="E143" s="58">
        <v>2.23781443696</v>
      </c>
      <c r="F143" s="75">
        <f t="shared" ref="F143:AD143" si="27">F87/$E143</f>
        <v>0</v>
      </c>
      <c r="G143" s="75">
        <f t="shared" si="27"/>
        <v>0</v>
      </c>
      <c r="H143" s="75">
        <f t="shared" si="27"/>
        <v>0</v>
      </c>
      <c r="I143" s="75" t="str">
        <f t="shared" si="27"/>
        <v>#VALUE!</v>
      </c>
      <c r="J143" s="75">
        <f t="shared" si="27"/>
        <v>0</v>
      </c>
      <c r="K143" s="75">
        <f t="shared" si="27"/>
        <v>0</v>
      </c>
      <c r="L143" s="75">
        <f t="shared" si="27"/>
        <v>0</v>
      </c>
      <c r="M143" s="75">
        <f t="shared" si="27"/>
        <v>0</v>
      </c>
      <c r="N143" s="75">
        <f t="shared" si="27"/>
        <v>0</v>
      </c>
      <c r="O143" s="75">
        <f t="shared" si="27"/>
        <v>0</v>
      </c>
      <c r="P143" s="75">
        <f t="shared" si="27"/>
        <v>0</v>
      </c>
      <c r="Q143" s="75">
        <f t="shared" si="27"/>
        <v>0</v>
      </c>
      <c r="R143" s="75">
        <f t="shared" si="27"/>
        <v>0</v>
      </c>
      <c r="S143" s="75">
        <f t="shared" si="27"/>
        <v>0</v>
      </c>
      <c r="T143" s="75">
        <f t="shared" si="27"/>
        <v>0</v>
      </c>
      <c r="U143" s="75">
        <f t="shared" si="27"/>
        <v>0</v>
      </c>
      <c r="V143" s="75">
        <f t="shared" si="27"/>
        <v>0</v>
      </c>
      <c r="W143" s="75">
        <f t="shared" si="27"/>
        <v>0</v>
      </c>
      <c r="X143" s="75">
        <f t="shared" si="27"/>
        <v>0</v>
      </c>
      <c r="Y143" s="75">
        <f t="shared" si="27"/>
        <v>0</v>
      </c>
      <c r="Z143" s="75">
        <f t="shared" si="27"/>
        <v>0</v>
      </c>
      <c r="AA143" s="75">
        <f t="shared" si="27"/>
        <v>0</v>
      </c>
      <c r="AB143" s="75">
        <f t="shared" si="27"/>
        <v>0</v>
      </c>
      <c r="AC143" s="75">
        <f t="shared" si="27"/>
        <v>0</v>
      </c>
      <c r="AD143" s="75">
        <f t="shared" si="27"/>
        <v>0</v>
      </c>
    </row>
    <row r="144">
      <c r="A144" s="57" t="s">
        <v>116</v>
      </c>
      <c r="B144" s="57" t="s">
        <v>1135</v>
      </c>
      <c r="C144" s="57" t="s">
        <v>1136</v>
      </c>
      <c r="D144" s="57">
        <v>2025.0</v>
      </c>
      <c r="E144" s="58">
        <v>9.37382988567</v>
      </c>
      <c r="F144" s="75">
        <f t="shared" ref="F144:AD144" si="28">F88/$E144</f>
        <v>0</v>
      </c>
      <c r="G144" s="75">
        <f t="shared" si="28"/>
        <v>426.7199265</v>
      </c>
      <c r="H144" s="75">
        <f t="shared" si="28"/>
        <v>960.1198347</v>
      </c>
      <c r="I144" s="75" t="str">
        <f t="shared" si="28"/>
        <v>#VALUE!</v>
      </c>
      <c r="J144" s="75">
        <f t="shared" si="28"/>
        <v>640.0798898</v>
      </c>
      <c r="K144" s="75">
        <f t="shared" si="28"/>
        <v>213.3599633</v>
      </c>
      <c r="L144" s="75">
        <f t="shared" si="28"/>
        <v>0</v>
      </c>
      <c r="M144" s="75">
        <f t="shared" si="28"/>
        <v>533.3999081</v>
      </c>
      <c r="N144" s="75">
        <f t="shared" si="28"/>
        <v>640.0798898</v>
      </c>
      <c r="O144" s="75">
        <f t="shared" si="28"/>
        <v>213.3599633</v>
      </c>
      <c r="P144" s="75">
        <f t="shared" si="28"/>
        <v>0</v>
      </c>
      <c r="Q144" s="75">
        <f t="shared" si="28"/>
        <v>106.6799816</v>
      </c>
      <c r="R144" s="75">
        <f t="shared" si="28"/>
        <v>266.6999541</v>
      </c>
      <c r="S144" s="75">
        <f t="shared" si="28"/>
        <v>640.0798898</v>
      </c>
      <c r="T144" s="75">
        <f t="shared" si="28"/>
        <v>213.3599633</v>
      </c>
      <c r="U144" s="75">
        <f t="shared" si="28"/>
        <v>106.6799816</v>
      </c>
      <c r="V144" s="75">
        <f t="shared" si="28"/>
        <v>533.3999081</v>
      </c>
      <c r="W144" s="75">
        <f t="shared" si="28"/>
        <v>640.0798898</v>
      </c>
      <c r="X144" s="75">
        <f t="shared" si="28"/>
        <v>320.0399449</v>
      </c>
      <c r="Y144" s="75">
        <f t="shared" si="28"/>
        <v>106.6799816</v>
      </c>
      <c r="Z144" s="75">
        <f t="shared" si="28"/>
        <v>0</v>
      </c>
      <c r="AA144" s="75">
        <f t="shared" si="28"/>
        <v>0</v>
      </c>
      <c r="AB144" s="75">
        <f t="shared" si="28"/>
        <v>0</v>
      </c>
      <c r="AC144" s="75">
        <f t="shared" si="28"/>
        <v>0</v>
      </c>
      <c r="AD144" s="75">
        <f t="shared" si="28"/>
        <v>0</v>
      </c>
    </row>
    <row r="145">
      <c r="A145" s="57" t="s">
        <v>116</v>
      </c>
      <c r="B145" s="57" t="s">
        <v>1121</v>
      </c>
      <c r="C145" s="57" t="s">
        <v>1122</v>
      </c>
      <c r="D145" s="57">
        <v>2023.0</v>
      </c>
      <c r="E145" s="58">
        <v>14.3065187754</v>
      </c>
      <c r="F145" s="75">
        <f t="shared" ref="F145:AD145" si="29">F89/$E145</f>
        <v>0</v>
      </c>
      <c r="G145" s="75">
        <f t="shared" si="29"/>
        <v>0</v>
      </c>
      <c r="H145" s="75">
        <f t="shared" si="29"/>
        <v>489.2874437</v>
      </c>
      <c r="I145" s="75" t="str">
        <f t="shared" si="29"/>
        <v>#VALUE!</v>
      </c>
      <c r="J145" s="75">
        <f t="shared" si="29"/>
        <v>698.9820624</v>
      </c>
      <c r="K145" s="75">
        <f t="shared" si="29"/>
        <v>139.7964125</v>
      </c>
      <c r="L145" s="75">
        <f t="shared" si="29"/>
        <v>0</v>
      </c>
      <c r="M145" s="75">
        <f t="shared" si="29"/>
        <v>559.18565</v>
      </c>
      <c r="N145" s="75">
        <f t="shared" si="29"/>
        <v>349.4910312</v>
      </c>
      <c r="O145" s="75">
        <f t="shared" si="29"/>
        <v>139.7964125</v>
      </c>
      <c r="P145" s="75">
        <f t="shared" si="29"/>
        <v>0</v>
      </c>
      <c r="Q145" s="75">
        <f t="shared" si="29"/>
        <v>0</v>
      </c>
      <c r="R145" s="75">
        <f t="shared" si="29"/>
        <v>0</v>
      </c>
      <c r="S145" s="75">
        <f t="shared" si="29"/>
        <v>489.2874437</v>
      </c>
      <c r="T145" s="75">
        <f t="shared" si="29"/>
        <v>349.4910312</v>
      </c>
      <c r="U145" s="75">
        <f t="shared" si="29"/>
        <v>314.5419281</v>
      </c>
      <c r="V145" s="75">
        <f t="shared" si="29"/>
        <v>139.7964125</v>
      </c>
      <c r="W145" s="75">
        <f t="shared" si="29"/>
        <v>349.4910312</v>
      </c>
      <c r="X145" s="75">
        <f t="shared" si="29"/>
        <v>0</v>
      </c>
      <c r="Y145" s="75">
        <f t="shared" si="29"/>
        <v>0</v>
      </c>
      <c r="Z145" s="75">
        <f t="shared" si="29"/>
        <v>0</v>
      </c>
      <c r="AA145" s="75">
        <f t="shared" si="29"/>
        <v>293.5724662</v>
      </c>
      <c r="AB145" s="75">
        <f t="shared" si="29"/>
        <v>419.3892375</v>
      </c>
      <c r="AC145" s="75">
        <f t="shared" si="29"/>
        <v>209.6946187</v>
      </c>
      <c r="AD145" s="75">
        <f t="shared" si="29"/>
        <v>0</v>
      </c>
    </row>
    <row r="146">
      <c r="A146" s="57" t="s">
        <v>234</v>
      </c>
      <c r="B146" s="57" t="s">
        <v>1153</v>
      </c>
      <c r="C146" s="57" t="s">
        <v>1154</v>
      </c>
      <c r="D146" s="57">
        <v>2026.0</v>
      </c>
      <c r="E146" s="58">
        <v>21.8680151198</v>
      </c>
      <c r="F146" s="75">
        <f t="shared" ref="F146:AD146" si="30">F90/$E146</f>
        <v>45.72888735</v>
      </c>
      <c r="G146" s="75">
        <f t="shared" si="30"/>
        <v>0</v>
      </c>
      <c r="H146" s="75">
        <f t="shared" si="30"/>
        <v>1143.222184</v>
      </c>
      <c r="I146" s="75" t="str">
        <f t="shared" si="30"/>
        <v>#VALUE!</v>
      </c>
      <c r="J146" s="75">
        <f t="shared" si="30"/>
        <v>411.5599862</v>
      </c>
      <c r="K146" s="75">
        <f t="shared" si="30"/>
        <v>0</v>
      </c>
      <c r="L146" s="75">
        <f t="shared" si="30"/>
        <v>0</v>
      </c>
      <c r="M146" s="75">
        <f t="shared" si="30"/>
        <v>457.2888735</v>
      </c>
      <c r="N146" s="75">
        <f t="shared" si="30"/>
        <v>365.8310988</v>
      </c>
      <c r="O146" s="75">
        <f t="shared" si="30"/>
        <v>91.4577747</v>
      </c>
      <c r="P146" s="75">
        <f t="shared" si="30"/>
        <v>0</v>
      </c>
      <c r="Q146" s="75">
        <f t="shared" si="30"/>
        <v>228.6444368</v>
      </c>
      <c r="R146" s="75">
        <f t="shared" si="30"/>
        <v>228.6444368</v>
      </c>
      <c r="S146" s="75">
        <f t="shared" si="30"/>
        <v>228.6444368</v>
      </c>
      <c r="T146" s="75">
        <f t="shared" si="30"/>
        <v>91.4577747</v>
      </c>
      <c r="U146" s="75">
        <f t="shared" si="30"/>
        <v>137.1866621</v>
      </c>
      <c r="V146" s="75">
        <f t="shared" si="30"/>
        <v>365.8310988</v>
      </c>
      <c r="W146" s="75">
        <f t="shared" si="30"/>
        <v>548.7466482</v>
      </c>
      <c r="X146" s="75">
        <f t="shared" si="30"/>
        <v>0</v>
      </c>
      <c r="Y146" s="75">
        <f t="shared" si="30"/>
        <v>0</v>
      </c>
      <c r="Z146" s="75">
        <f t="shared" si="30"/>
        <v>0</v>
      </c>
      <c r="AA146" s="75">
        <f t="shared" si="30"/>
        <v>0</v>
      </c>
      <c r="AB146" s="75">
        <f t="shared" si="30"/>
        <v>0</v>
      </c>
      <c r="AC146" s="75">
        <f t="shared" si="30"/>
        <v>0</v>
      </c>
      <c r="AD146" s="75">
        <f t="shared" si="30"/>
        <v>0</v>
      </c>
    </row>
    <row r="147">
      <c r="A147" s="57" t="s">
        <v>95</v>
      </c>
      <c r="B147" s="57" t="s">
        <v>1131</v>
      </c>
      <c r="C147" s="57" t="s">
        <v>1132</v>
      </c>
      <c r="D147" s="57">
        <v>2025.0</v>
      </c>
      <c r="E147" s="58">
        <v>27.6824254054</v>
      </c>
      <c r="F147" s="75">
        <f t="shared" ref="F147:AD147" si="31">F91/$E147</f>
        <v>0</v>
      </c>
      <c r="G147" s="75">
        <f t="shared" si="31"/>
        <v>216.744014</v>
      </c>
      <c r="H147" s="75">
        <f t="shared" si="31"/>
        <v>288.9920187</v>
      </c>
      <c r="I147" s="75" t="str">
        <f t="shared" si="31"/>
        <v>#VALUE!</v>
      </c>
      <c r="J147" s="75">
        <f t="shared" si="31"/>
        <v>0</v>
      </c>
      <c r="K147" s="75">
        <f t="shared" si="31"/>
        <v>541.860035</v>
      </c>
      <c r="L147" s="75">
        <f t="shared" si="31"/>
        <v>541.860035</v>
      </c>
      <c r="M147" s="75">
        <f t="shared" si="31"/>
        <v>541.860035</v>
      </c>
      <c r="N147" s="75">
        <f t="shared" si="31"/>
        <v>288.9920187</v>
      </c>
      <c r="O147" s="75">
        <f t="shared" si="31"/>
        <v>0</v>
      </c>
      <c r="P147" s="75">
        <f t="shared" si="31"/>
        <v>0</v>
      </c>
      <c r="Q147" s="75">
        <f t="shared" si="31"/>
        <v>108.372007</v>
      </c>
      <c r="R147" s="75">
        <f t="shared" si="31"/>
        <v>216.744014</v>
      </c>
      <c r="S147" s="75">
        <f t="shared" si="31"/>
        <v>433.488028</v>
      </c>
      <c r="T147" s="75">
        <f t="shared" si="31"/>
        <v>288.9920187</v>
      </c>
      <c r="U147" s="75">
        <f t="shared" si="31"/>
        <v>0</v>
      </c>
      <c r="V147" s="75">
        <f t="shared" si="31"/>
        <v>108.372007</v>
      </c>
      <c r="W147" s="75">
        <f t="shared" si="31"/>
        <v>433.488028</v>
      </c>
      <c r="X147" s="75">
        <f t="shared" si="31"/>
        <v>650.232042</v>
      </c>
      <c r="Y147" s="75">
        <f t="shared" si="31"/>
        <v>325.116021</v>
      </c>
      <c r="Z147" s="75">
        <f t="shared" si="31"/>
        <v>0</v>
      </c>
      <c r="AA147" s="75">
        <f t="shared" si="31"/>
        <v>0</v>
      </c>
      <c r="AB147" s="75">
        <f t="shared" si="31"/>
        <v>0</v>
      </c>
      <c r="AC147" s="75">
        <f t="shared" si="31"/>
        <v>0</v>
      </c>
      <c r="AD147" s="75">
        <f t="shared" si="31"/>
        <v>0</v>
      </c>
    </row>
    <row r="148">
      <c r="A148" s="57" t="s">
        <v>234</v>
      </c>
      <c r="B148" s="57" t="s">
        <v>1159</v>
      </c>
      <c r="C148" s="57" t="s">
        <v>1160</v>
      </c>
      <c r="D148" s="57">
        <v>2027.0</v>
      </c>
      <c r="E148" s="58">
        <v>66.6681395928</v>
      </c>
      <c r="F148" s="75">
        <f t="shared" ref="F148:AD148" si="32">F92/$E148</f>
        <v>0</v>
      </c>
      <c r="G148" s="75">
        <f t="shared" si="32"/>
        <v>0</v>
      </c>
      <c r="H148" s="75">
        <f t="shared" si="32"/>
        <v>0</v>
      </c>
      <c r="I148" s="75" t="str">
        <f t="shared" si="32"/>
        <v>#VALUE!</v>
      </c>
      <c r="J148" s="75">
        <f t="shared" si="32"/>
        <v>0</v>
      </c>
      <c r="K148" s="75">
        <f t="shared" si="32"/>
        <v>0</v>
      </c>
      <c r="L148" s="75">
        <f t="shared" si="32"/>
        <v>0</v>
      </c>
      <c r="M148" s="75">
        <f t="shared" si="32"/>
        <v>0</v>
      </c>
      <c r="N148" s="75">
        <f t="shared" si="32"/>
        <v>0</v>
      </c>
      <c r="O148" s="75">
        <f t="shared" si="32"/>
        <v>149.996686</v>
      </c>
      <c r="P148" s="75">
        <f t="shared" si="32"/>
        <v>374.991715</v>
      </c>
      <c r="Q148" s="75">
        <f t="shared" si="32"/>
        <v>224.995029</v>
      </c>
      <c r="R148" s="75">
        <f t="shared" si="32"/>
        <v>0</v>
      </c>
      <c r="S148" s="75">
        <f t="shared" si="32"/>
        <v>0</v>
      </c>
      <c r="T148" s="75">
        <f t="shared" si="32"/>
        <v>0</v>
      </c>
      <c r="U148" s="75">
        <f t="shared" si="32"/>
        <v>0</v>
      </c>
      <c r="V148" s="75">
        <f t="shared" si="32"/>
        <v>149.996686</v>
      </c>
      <c r="W148" s="75">
        <f t="shared" si="32"/>
        <v>149.996686</v>
      </c>
      <c r="X148" s="75">
        <f t="shared" si="32"/>
        <v>299.993372</v>
      </c>
      <c r="Y148" s="75">
        <f t="shared" si="32"/>
        <v>224.995029</v>
      </c>
      <c r="Z148" s="75">
        <f t="shared" si="32"/>
        <v>179.9960232</v>
      </c>
      <c r="AA148" s="75">
        <f t="shared" si="32"/>
        <v>0</v>
      </c>
      <c r="AB148" s="75">
        <f t="shared" si="32"/>
        <v>0</v>
      </c>
      <c r="AC148" s="75">
        <f t="shared" si="32"/>
        <v>0</v>
      </c>
      <c r="AD148" s="75">
        <f t="shared" si="32"/>
        <v>0</v>
      </c>
    </row>
    <row r="149">
      <c r="A149" s="57" t="s">
        <v>95</v>
      </c>
      <c r="B149" s="57" t="s">
        <v>1103</v>
      </c>
      <c r="C149" s="57" t="s">
        <v>1104</v>
      </c>
      <c r="D149" s="57">
        <v>2022.0</v>
      </c>
      <c r="E149" s="58">
        <v>16.8565995196</v>
      </c>
      <c r="F149" s="75">
        <f t="shared" ref="F149:AD149" si="33">F93/$E149</f>
        <v>177.9718381</v>
      </c>
      <c r="G149" s="75">
        <f t="shared" si="33"/>
        <v>177.9718381</v>
      </c>
      <c r="H149" s="75">
        <f t="shared" si="33"/>
        <v>0</v>
      </c>
      <c r="I149" s="75" t="str">
        <f t="shared" si="33"/>
        <v>#VALUE!</v>
      </c>
      <c r="J149" s="75">
        <f t="shared" si="33"/>
        <v>0</v>
      </c>
      <c r="K149" s="75">
        <f t="shared" si="33"/>
        <v>0</v>
      </c>
      <c r="L149" s="75">
        <f t="shared" si="33"/>
        <v>0</v>
      </c>
      <c r="M149" s="75">
        <f t="shared" si="33"/>
        <v>0</v>
      </c>
      <c r="N149" s="75">
        <f t="shared" si="33"/>
        <v>0</v>
      </c>
      <c r="O149" s="75">
        <f t="shared" si="33"/>
        <v>0</v>
      </c>
      <c r="P149" s="75">
        <f t="shared" si="33"/>
        <v>0</v>
      </c>
      <c r="Q149" s="75">
        <f t="shared" si="33"/>
        <v>355.9436761</v>
      </c>
      <c r="R149" s="75">
        <f t="shared" si="33"/>
        <v>296.6197301</v>
      </c>
      <c r="S149" s="75">
        <f t="shared" si="33"/>
        <v>415.2676221</v>
      </c>
      <c r="T149" s="75">
        <f t="shared" si="33"/>
        <v>177.9718381</v>
      </c>
      <c r="U149" s="75">
        <f t="shared" si="33"/>
        <v>59.32394602</v>
      </c>
      <c r="V149" s="75">
        <f t="shared" si="33"/>
        <v>355.9436761</v>
      </c>
      <c r="W149" s="75">
        <f t="shared" si="33"/>
        <v>711.8873523</v>
      </c>
      <c r="X149" s="75">
        <f t="shared" si="33"/>
        <v>0</v>
      </c>
      <c r="Y149" s="75">
        <f t="shared" si="33"/>
        <v>0</v>
      </c>
      <c r="Z149" s="75">
        <f t="shared" si="33"/>
        <v>415.2676221</v>
      </c>
      <c r="AA149" s="75">
        <f t="shared" si="33"/>
        <v>296.6197301</v>
      </c>
      <c r="AB149" s="75">
        <f t="shared" si="33"/>
        <v>118.647892</v>
      </c>
      <c r="AC149" s="75">
        <f t="shared" si="33"/>
        <v>0</v>
      </c>
      <c r="AD149" s="75">
        <f t="shared" si="33"/>
        <v>0</v>
      </c>
    </row>
    <row r="150">
      <c r="A150" s="57" t="s">
        <v>95</v>
      </c>
      <c r="B150" s="57" t="s">
        <v>1117</v>
      </c>
      <c r="C150" s="57" t="s">
        <v>1118</v>
      </c>
      <c r="D150" s="57">
        <v>2023.0</v>
      </c>
      <c r="E150" s="58">
        <v>20.6444992475</v>
      </c>
      <c r="F150" s="75">
        <f t="shared" ref="F150:AD150" si="34">F94/$E150</f>
        <v>581.2686399</v>
      </c>
      <c r="G150" s="75">
        <f t="shared" si="34"/>
        <v>387.5124266</v>
      </c>
      <c r="H150" s="75">
        <f t="shared" si="34"/>
        <v>339.0733733</v>
      </c>
      <c r="I150" s="75" t="str">
        <f t="shared" si="34"/>
        <v>#VALUE!</v>
      </c>
      <c r="J150" s="75">
        <f t="shared" si="34"/>
        <v>775.0248533</v>
      </c>
      <c r="K150" s="75">
        <f t="shared" si="34"/>
        <v>484.3905333</v>
      </c>
      <c r="L150" s="75">
        <f t="shared" si="34"/>
        <v>339.0733733</v>
      </c>
      <c r="M150" s="75">
        <f t="shared" si="34"/>
        <v>484.3905333</v>
      </c>
      <c r="N150" s="75">
        <f t="shared" si="34"/>
        <v>242.1952666</v>
      </c>
      <c r="O150" s="75">
        <f t="shared" si="34"/>
        <v>0</v>
      </c>
      <c r="P150" s="75">
        <f t="shared" si="34"/>
        <v>0</v>
      </c>
      <c r="Q150" s="75">
        <f t="shared" si="34"/>
        <v>387.5124266</v>
      </c>
      <c r="R150" s="75">
        <f t="shared" si="34"/>
        <v>387.5124266</v>
      </c>
      <c r="S150" s="75">
        <f t="shared" si="34"/>
        <v>242.1952666</v>
      </c>
      <c r="T150" s="75">
        <f t="shared" si="34"/>
        <v>145.31716</v>
      </c>
      <c r="U150" s="75">
        <f t="shared" si="34"/>
        <v>145.31716</v>
      </c>
      <c r="V150" s="75">
        <f t="shared" si="34"/>
        <v>387.5124266</v>
      </c>
      <c r="W150" s="75">
        <f t="shared" si="34"/>
        <v>581.2686399</v>
      </c>
      <c r="X150" s="75">
        <f t="shared" si="34"/>
        <v>387.5124266</v>
      </c>
      <c r="Y150" s="75">
        <f t="shared" si="34"/>
        <v>0</v>
      </c>
      <c r="Z150" s="75">
        <f t="shared" si="34"/>
        <v>0</v>
      </c>
      <c r="AA150" s="75">
        <f t="shared" si="34"/>
        <v>387.5124266</v>
      </c>
      <c r="AB150" s="75">
        <f t="shared" si="34"/>
        <v>242.1952666</v>
      </c>
      <c r="AC150" s="75">
        <f t="shared" si="34"/>
        <v>242.1952666</v>
      </c>
      <c r="AD150" s="75">
        <f t="shared" si="34"/>
        <v>0</v>
      </c>
    </row>
    <row r="151">
      <c r="A151" s="57" t="s">
        <v>246</v>
      </c>
      <c r="B151" s="57" t="s">
        <v>1123</v>
      </c>
      <c r="C151" s="57" t="s">
        <v>1143</v>
      </c>
      <c r="D151" s="57">
        <v>2026.0</v>
      </c>
      <c r="E151" s="58">
        <v>34.1928592778</v>
      </c>
      <c r="F151" s="75">
        <f t="shared" ref="F151:AD151" si="35">F95/$E151</f>
        <v>0</v>
      </c>
      <c r="G151" s="75">
        <f t="shared" si="35"/>
        <v>0</v>
      </c>
      <c r="H151" s="75">
        <f t="shared" si="35"/>
        <v>0</v>
      </c>
      <c r="I151" s="75" t="str">
        <f t="shared" si="35"/>
        <v>#VALUE!</v>
      </c>
      <c r="J151" s="75">
        <f t="shared" si="35"/>
        <v>0</v>
      </c>
      <c r="K151" s="75">
        <f t="shared" si="35"/>
        <v>0</v>
      </c>
      <c r="L151" s="75">
        <f t="shared" si="35"/>
        <v>0</v>
      </c>
      <c r="M151" s="75">
        <f t="shared" si="35"/>
        <v>0</v>
      </c>
      <c r="N151" s="75">
        <f t="shared" si="35"/>
        <v>0</v>
      </c>
      <c r="O151" s="75">
        <f t="shared" si="35"/>
        <v>0</v>
      </c>
      <c r="P151" s="75">
        <f t="shared" si="35"/>
        <v>0</v>
      </c>
      <c r="Q151" s="75">
        <f t="shared" si="35"/>
        <v>0</v>
      </c>
      <c r="R151" s="75">
        <f t="shared" si="35"/>
        <v>0</v>
      </c>
      <c r="S151" s="75">
        <f t="shared" si="35"/>
        <v>380.1963414</v>
      </c>
      <c r="T151" s="75">
        <f t="shared" si="35"/>
        <v>175.4752345</v>
      </c>
      <c r="U151" s="75">
        <f t="shared" si="35"/>
        <v>292.4587242</v>
      </c>
      <c r="V151" s="75">
        <f t="shared" si="35"/>
        <v>116.9834897</v>
      </c>
      <c r="W151" s="75">
        <f t="shared" si="35"/>
        <v>0</v>
      </c>
      <c r="X151" s="75">
        <f t="shared" si="35"/>
        <v>58.49174483</v>
      </c>
      <c r="Y151" s="75">
        <f t="shared" si="35"/>
        <v>175.4752345</v>
      </c>
      <c r="Z151" s="75">
        <f t="shared" si="35"/>
        <v>219.3440431</v>
      </c>
      <c r="AA151" s="75">
        <f t="shared" si="35"/>
        <v>292.4587242</v>
      </c>
      <c r="AB151" s="75">
        <f t="shared" si="35"/>
        <v>0</v>
      </c>
      <c r="AC151" s="75">
        <f t="shared" si="35"/>
        <v>146.2293621</v>
      </c>
      <c r="AD151" s="75">
        <f t="shared" si="35"/>
        <v>584.9174483</v>
      </c>
    </row>
    <row r="152">
      <c r="A152" s="57" t="s">
        <v>246</v>
      </c>
      <c r="B152" s="57" t="s">
        <v>1113</v>
      </c>
      <c r="C152" s="57" t="s">
        <v>1114</v>
      </c>
      <c r="D152" s="57">
        <v>2023.0</v>
      </c>
      <c r="E152" s="58">
        <v>42.8989254987</v>
      </c>
      <c r="F152" s="75">
        <f t="shared" ref="F152:AD152" si="36">F96/$E152</f>
        <v>0</v>
      </c>
      <c r="G152" s="75">
        <f t="shared" si="36"/>
        <v>0</v>
      </c>
      <c r="H152" s="75">
        <f t="shared" si="36"/>
        <v>0</v>
      </c>
      <c r="I152" s="75" t="str">
        <f t="shared" si="36"/>
        <v>#VALUE!</v>
      </c>
      <c r="J152" s="75">
        <f t="shared" si="36"/>
        <v>279.727286</v>
      </c>
      <c r="K152" s="75">
        <f t="shared" si="36"/>
        <v>233.1060716</v>
      </c>
      <c r="L152" s="75">
        <f t="shared" si="36"/>
        <v>116.5530358</v>
      </c>
      <c r="M152" s="75">
        <f t="shared" si="36"/>
        <v>93.24242865</v>
      </c>
      <c r="N152" s="75">
        <f t="shared" si="36"/>
        <v>0</v>
      </c>
      <c r="O152" s="75">
        <f t="shared" si="36"/>
        <v>0</v>
      </c>
      <c r="P152" s="75">
        <f t="shared" si="36"/>
        <v>0</v>
      </c>
      <c r="Q152" s="75">
        <f t="shared" si="36"/>
        <v>0</v>
      </c>
      <c r="R152" s="75">
        <f t="shared" si="36"/>
        <v>0</v>
      </c>
      <c r="S152" s="75">
        <f t="shared" si="36"/>
        <v>582.7651791</v>
      </c>
      <c r="T152" s="75">
        <f t="shared" si="36"/>
        <v>279.727286</v>
      </c>
      <c r="U152" s="75">
        <f t="shared" si="36"/>
        <v>466.2121433</v>
      </c>
      <c r="V152" s="75">
        <f t="shared" si="36"/>
        <v>186.4848573</v>
      </c>
      <c r="W152" s="75">
        <f t="shared" si="36"/>
        <v>0</v>
      </c>
      <c r="X152" s="75">
        <f t="shared" si="36"/>
        <v>0</v>
      </c>
      <c r="Y152" s="75">
        <f t="shared" si="36"/>
        <v>0</v>
      </c>
      <c r="Z152" s="75">
        <f t="shared" si="36"/>
        <v>0</v>
      </c>
      <c r="AA152" s="75">
        <f t="shared" si="36"/>
        <v>0</v>
      </c>
      <c r="AB152" s="75">
        <f t="shared" si="36"/>
        <v>279.727286</v>
      </c>
      <c r="AC152" s="75">
        <f t="shared" si="36"/>
        <v>0</v>
      </c>
      <c r="AD152" s="75">
        <f t="shared" si="36"/>
        <v>0</v>
      </c>
    </row>
    <row r="153">
      <c r="A153" s="57" t="s">
        <v>246</v>
      </c>
      <c r="B153" s="57" t="s">
        <v>1090</v>
      </c>
      <c r="C153" s="57" t="s">
        <v>1091</v>
      </c>
      <c r="D153" s="57">
        <v>2021.0</v>
      </c>
      <c r="E153" s="58">
        <v>22.9580921452</v>
      </c>
      <c r="F153" s="75">
        <f t="shared" ref="F153:AD153" si="37">F97/$E153</f>
        <v>0</v>
      </c>
      <c r="G153" s="75">
        <f t="shared" si="37"/>
        <v>0</v>
      </c>
      <c r="H153" s="75">
        <f t="shared" si="37"/>
        <v>0</v>
      </c>
      <c r="I153" s="75" t="str">
        <f t="shared" si="37"/>
        <v>#VALUE!</v>
      </c>
      <c r="J153" s="75">
        <f t="shared" si="37"/>
        <v>261.3457583</v>
      </c>
      <c r="K153" s="75">
        <f t="shared" si="37"/>
        <v>348.461011</v>
      </c>
      <c r="L153" s="75">
        <f t="shared" si="37"/>
        <v>304.9033846</v>
      </c>
      <c r="M153" s="75">
        <f t="shared" si="37"/>
        <v>130.6728791</v>
      </c>
      <c r="N153" s="75">
        <f t="shared" si="37"/>
        <v>0</v>
      </c>
      <c r="O153" s="75">
        <f t="shared" si="37"/>
        <v>0</v>
      </c>
      <c r="P153" s="75">
        <f t="shared" si="37"/>
        <v>0</v>
      </c>
      <c r="Q153" s="75">
        <f t="shared" si="37"/>
        <v>522.6915165</v>
      </c>
      <c r="R153" s="75">
        <f t="shared" si="37"/>
        <v>0</v>
      </c>
      <c r="S153" s="75">
        <f t="shared" si="37"/>
        <v>522.6915165</v>
      </c>
      <c r="T153" s="75">
        <f t="shared" si="37"/>
        <v>435.5762638</v>
      </c>
      <c r="U153" s="75">
        <f t="shared" si="37"/>
        <v>348.461011</v>
      </c>
      <c r="V153" s="75">
        <f t="shared" si="37"/>
        <v>261.3457583</v>
      </c>
      <c r="W153" s="75">
        <f t="shared" si="37"/>
        <v>0</v>
      </c>
      <c r="X153" s="75">
        <f t="shared" si="37"/>
        <v>87.11525275</v>
      </c>
      <c r="Y153" s="75">
        <f t="shared" si="37"/>
        <v>174.2305055</v>
      </c>
      <c r="Z153" s="75">
        <f t="shared" si="37"/>
        <v>174.2305055</v>
      </c>
      <c r="AA153" s="75">
        <f t="shared" si="37"/>
        <v>174.2305055</v>
      </c>
      <c r="AB153" s="75">
        <f t="shared" si="37"/>
        <v>174.2305055</v>
      </c>
      <c r="AC153" s="75">
        <f t="shared" si="37"/>
        <v>0</v>
      </c>
      <c r="AD153" s="75">
        <f t="shared" si="37"/>
        <v>0</v>
      </c>
    </row>
    <row r="154">
      <c r="A154" s="57" t="s">
        <v>246</v>
      </c>
      <c r="B154" s="57" t="s">
        <v>1164</v>
      </c>
      <c r="C154" s="57" t="s">
        <v>1165</v>
      </c>
      <c r="D154" s="57" t="s">
        <v>1163</v>
      </c>
      <c r="E154" s="58">
        <v>15.4976133198</v>
      </c>
      <c r="F154" s="75">
        <f t="shared" ref="F154:AD154" si="38">F98/$E154</f>
        <v>0</v>
      </c>
      <c r="G154" s="75">
        <f t="shared" si="38"/>
        <v>0</v>
      </c>
      <c r="H154" s="75">
        <f t="shared" si="38"/>
        <v>0</v>
      </c>
      <c r="I154" s="75" t="str">
        <f t="shared" si="38"/>
        <v>#VALUE!</v>
      </c>
      <c r="J154" s="75">
        <f t="shared" si="38"/>
        <v>387.1563883</v>
      </c>
      <c r="K154" s="75">
        <f t="shared" si="38"/>
        <v>516.2085177</v>
      </c>
      <c r="L154" s="75">
        <f t="shared" si="38"/>
        <v>451.682453</v>
      </c>
      <c r="M154" s="75">
        <f t="shared" si="38"/>
        <v>193.5781941</v>
      </c>
      <c r="N154" s="75">
        <f t="shared" si="38"/>
        <v>0</v>
      </c>
      <c r="O154" s="75">
        <f t="shared" si="38"/>
        <v>0</v>
      </c>
      <c r="P154" s="75">
        <f t="shared" si="38"/>
        <v>0</v>
      </c>
      <c r="Q154" s="75">
        <f t="shared" si="38"/>
        <v>0</v>
      </c>
      <c r="R154" s="75">
        <f t="shared" si="38"/>
        <v>0</v>
      </c>
      <c r="S154" s="75">
        <f t="shared" si="38"/>
        <v>645.2606471</v>
      </c>
      <c r="T154" s="75">
        <f t="shared" si="38"/>
        <v>129.0521294</v>
      </c>
      <c r="U154" s="75">
        <f t="shared" si="38"/>
        <v>0</v>
      </c>
      <c r="V154" s="75">
        <f t="shared" si="38"/>
        <v>0</v>
      </c>
      <c r="W154" s="75">
        <f t="shared" si="38"/>
        <v>0</v>
      </c>
      <c r="X154" s="75">
        <f t="shared" si="38"/>
        <v>0</v>
      </c>
      <c r="Y154" s="75">
        <f t="shared" si="38"/>
        <v>0</v>
      </c>
      <c r="Z154" s="75">
        <f t="shared" si="38"/>
        <v>0</v>
      </c>
      <c r="AA154" s="75">
        <f t="shared" si="38"/>
        <v>0</v>
      </c>
      <c r="AB154" s="75">
        <f t="shared" si="38"/>
        <v>0</v>
      </c>
      <c r="AC154" s="75">
        <f t="shared" si="38"/>
        <v>0</v>
      </c>
      <c r="AD154" s="75">
        <f t="shared" si="38"/>
        <v>0</v>
      </c>
    </row>
    <row r="155">
      <c r="A155" s="57" t="s">
        <v>246</v>
      </c>
      <c r="B155" s="57" t="s">
        <v>1144</v>
      </c>
      <c r="C155" s="57" t="s">
        <v>1145</v>
      </c>
      <c r="D155" s="57">
        <v>2026.0</v>
      </c>
      <c r="E155" s="58">
        <v>35.3952011094</v>
      </c>
      <c r="F155" s="75">
        <f t="shared" ref="F155:AD155" si="39">F99/$E155</f>
        <v>0</v>
      </c>
      <c r="G155" s="75">
        <f t="shared" si="39"/>
        <v>0</v>
      </c>
      <c r="H155" s="75">
        <f t="shared" si="39"/>
        <v>0</v>
      </c>
      <c r="I155" s="75" t="str">
        <f t="shared" si="39"/>
        <v>#VALUE!</v>
      </c>
      <c r="J155" s="75">
        <f t="shared" si="39"/>
        <v>339.0290103</v>
      </c>
      <c r="K155" s="75">
        <f t="shared" si="39"/>
        <v>282.5241752</v>
      </c>
      <c r="L155" s="75">
        <f t="shared" si="39"/>
        <v>141.2620876</v>
      </c>
      <c r="M155" s="75">
        <f t="shared" si="39"/>
        <v>113.0096701</v>
      </c>
      <c r="N155" s="75">
        <f t="shared" si="39"/>
        <v>0</v>
      </c>
      <c r="O155" s="75">
        <f t="shared" si="39"/>
        <v>0</v>
      </c>
      <c r="P155" s="75">
        <f t="shared" si="39"/>
        <v>0</v>
      </c>
      <c r="Q155" s="75">
        <f t="shared" si="39"/>
        <v>0</v>
      </c>
      <c r="R155" s="75">
        <f t="shared" si="39"/>
        <v>0</v>
      </c>
      <c r="S155" s="75">
        <f t="shared" si="39"/>
        <v>0</v>
      </c>
      <c r="T155" s="75">
        <f t="shared" si="39"/>
        <v>0</v>
      </c>
      <c r="U155" s="75">
        <f t="shared" si="39"/>
        <v>197.7669227</v>
      </c>
      <c r="V155" s="75">
        <f t="shared" si="39"/>
        <v>226.0193402</v>
      </c>
      <c r="W155" s="75">
        <f t="shared" si="39"/>
        <v>141.2620876</v>
      </c>
      <c r="X155" s="75">
        <f t="shared" si="39"/>
        <v>0</v>
      </c>
      <c r="Y155" s="75">
        <f t="shared" si="39"/>
        <v>0</v>
      </c>
      <c r="Z155" s="75">
        <f t="shared" si="39"/>
        <v>0</v>
      </c>
      <c r="AA155" s="75">
        <f t="shared" si="39"/>
        <v>0</v>
      </c>
      <c r="AB155" s="75">
        <f t="shared" si="39"/>
        <v>0</v>
      </c>
      <c r="AC155" s="75">
        <f t="shared" si="39"/>
        <v>0</v>
      </c>
      <c r="AD155" s="75">
        <f t="shared" si="39"/>
        <v>0</v>
      </c>
    </row>
    <row r="156">
      <c r="A156" s="57" t="s">
        <v>246</v>
      </c>
      <c r="B156" s="57" t="s">
        <v>1097</v>
      </c>
      <c r="C156" s="57" t="s">
        <v>1098</v>
      </c>
      <c r="D156" s="57">
        <v>2022.0</v>
      </c>
      <c r="E156" s="58">
        <v>17.0329955136</v>
      </c>
      <c r="F156" s="75">
        <f t="shared" ref="F156:AD156" si="40">F100/$E156</f>
        <v>0</v>
      </c>
      <c r="G156" s="75">
        <f t="shared" si="40"/>
        <v>0</v>
      </c>
      <c r="H156" s="75">
        <f t="shared" si="40"/>
        <v>528.3862133</v>
      </c>
      <c r="I156" s="75" t="str">
        <f t="shared" si="40"/>
        <v>#VALUE!</v>
      </c>
      <c r="J156" s="75">
        <f t="shared" si="40"/>
        <v>528.3862133</v>
      </c>
      <c r="K156" s="75">
        <f t="shared" si="40"/>
        <v>293.5478963</v>
      </c>
      <c r="L156" s="75">
        <f t="shared" si="40"/>
        <v>0</v>
      </c>
      <c r="M156" s="75">
        <f t="shared" si="40"/>
        <v>0</v>
      </c>
      <c r="N156" s="75">
        <f t="shared" si="40"/>
        <v>0</v>
      </c>
      <c r="O156" s="75">
        <f t="shared" si="40"/>
        <v>0</v>
      </c>
      <c r="P156" s="75">
        <f t="shared" si="40"/>
        <v>293.5478963</v>
      </c>
      <c r="Q156" s="75">
        <f t="shared" si="40"/>
        <v>117.4191585</v>
      </c>
      <c r="R156" s="75">
        <f t="shared" si="40"/>
        <v>704.514951</v>
      </c>
      <c r="S156" s="75">
        <f t="shared" si="40"/>
        <v>1015.675721</v>
      </c>
      <c r="T156" s="75">
        <f t="shared" si="40"/>
        <v>234.838317</v>
      </c>
      <c r="U156" s="75">
        <f t="shared" si="40"/>
        <v>293.5478963</v>
      </c>
      <c r="V156" s="75">
        <f t="shared" si="40"/>
        <v>0</v>
      </c>
      <c r="W156" s="75">
        <f t="shared" si="40"/>
        <v>0</v>
      </c>
      <c r="X156" s="75">
        <f t="shared" si="40"/>
        <v>0</v>
      </c>
      <c r="Y156" s="75">
        <f t="shared" si="40"/>
        <v>0</v>
      </c>
      <c r="Z156" s="75">
        <f t="shared" si="40"/>
        <v>440.3218444</v>
      </c>
      <c r="AA156" s="75">
        <f t="shared" si="40"/>
        <v>469.676634</v>
      </c>
      <c r="AB156" s="75">
        <f t="shared" si="40"/>
        <v>469.676634</v>
      </c>
      <c r="AC156" s="75">
        <f t="shared" si="40"/>
        <v>0</v>
      </c>
      <c r="AD156" s="75">
        <f t="shared" si="40"/>
        <v>0</v>
      </c>
    </row>
    <row r="157">
      <c r="A157" s="57" t="s">
        <v>116</v>
      </c>
      <c r="B157" s="57" t="s">
        <v>1192</v>
      </c>
      <c r="C157" s="57" t="s">
        <v>1193</v>
      </c>
      <c r="D157" s="57" t="s">
        <v>1163</v>
      </c>
      <c r="E157" s="58">
        <v>5.94360357263</v>
      </c>
      <c r="F157" s="75">
        <f t="shared" ref="F157:AD157" si="41">F101/$E157</f>
        <v>0</v>
      </c>
      <c r="G157" s="75">
        <f t="shared" si="41"/>
        <v>672.9923944</v>
      </c>
      <c r="H157" s="75">
        <f t="shared" si="41"/>
        <v>1009.488592</v>
      </c>
      <c r="I157" s="75" t="str">
        <f t="shared" si="41"/>
        <v>#VALUE!</v>
      </c>
      <c r="J157" s="75">
        <f t="shared" si="41"/>
        <v>1009.488592</v>
      </c>
      <c r="K157" s="75">
        <f t="shared" si="41"/>
        <v>336.4961972</v>
      </c>
      <c r="L157" s="75">
        <f t="shared" si="41"/>
        <v>0</v>
      </c>
      <c r="M157" s="75">
        <f t="shared" si="41"/>
        <v>0</v>
      </c>
      <c r="N157" s="75">
        <f t="shared" si="41"/>
        <v>0</v>
      </c>
      <c r="O157" s="75">
        <f t="shared" si="41"/>
        <v>0</v>
      </c>
      <c r="P157" s="75">
        <f t="shared" si="41"/>
        <v>0</v>
      </c>
      <c r="Q157" s="75">
        <f t="shared" si="41"/>
        <v>0</v>
      </c>
      <c r="R157" s="75">
        <f t="shared" si="41"/>
        <v>588.8683451</v>
      </c>
      <c r="S157" s="75">
        <f t="shared" si="41"/>
        <v>252.3721479</v>
      </c>
      <c r="T157" s="75">
        <f t="shared" si="41"/>
        <v>504.7442958</v>
      </c>
      <c r="U157" s="75">
        <f t="shared" si="41"/>
        <v>757.1164438</v>
      </c>
      <c r="V157" s="75">
        <f t="shared" si="41"/>
        <v>672.9923944</v>
      </c>
      <c r="W157" s="75">
        <f t="shared" si="41"/>
        <v>420.6202465</v>
      </c>
      <c r="X157" s="75">
        <f t="shared" si="41"/>
        <v>0</v>
      </c>
      <c r="Y157" s="75">
        <f t="shared" si="41"/>
        <v>0</v>
      </c>
      <c r="Z157" s="75">
        <f t="shared" si="41"/>
        <v>0</v>
      </c>
      <c r="AA157" s="75">
        <f t="shared" si="41"/>
        <v>0</v>
      </c>
      <c r="AB157" s="75">
        <f t="shared" si="41"/>
        <v>0</v>
      </c>
      <c r="AC157" s="75">
        <f t="shared" si="41"/>
        <v>0</v>
      </c>
      <c r="AD157" s="75">
        <f t="shared" si="41"/>
        <v>0</v>
      </c>
    </row>
    <row r="158">
      <c r="A158" s="57" t="s">
        <v>116</v>
      </c>
      <c r="B158" s="57" t="s">
        <v>1188</v>
      </c>
      <c r="C158" s="57" t="s">
        <v>1189</v>
      </c>
      <c r="D158" s="57" t="s">
        <v>1163</v>
      </c>
      <c r="E158" s="58">
        <v>14.2735043351</v>
      </c>
      <c r="F158" s="75">
        <f t="shared" ref="F158:AD158" si="42">F102/$E158</f>
        <v>0</v>
      </c>
      <c r="G158" s="75">
        <f t="shared" si="42"/>
        <v>280.2395197</v>
      </c>
      <c r="H158" s="75">
        <f t="shared" si="42"/>
        <v>420.3592796</v>
      </c>
      <c r="I158" s="75" t="str">
        <f t="shared" si="42"/>
        <v>#VALUE!</v>
      </c>
      <c r="J158" s="75">
        <f t="shared" si="42"/>
        <v>420.3592796</v>
      </c>
      <c r="K158" s="75">
        <f t="shared" si="42"/>
        <v>140.1197599</v>
      </c>
      <c r="L158" s="75">
        <f t="shared" si="42"/>
        <v>0</v>
      </c>
      <c r="M158" s="75">
        <f t="shared" si="42"/>
        <v>0</v>
      </c>
      <c r="N158" s="75">
        <f t="shared" si="42"/>
        <v>0</v>
      </c>
      <c r="O158" s="75">
        <f t="shared" si="42"/>
        <v>0</v>
      </c>
      <c r="P158" s="75">
        <f t="shared" si="42"/>
        <v>0</v>
      </c>
      <c r="Q158" s="75">
        <f t="shared" si="42"/>
        <v>70.05987994</v>
      </c>
      <c r="R158" s="75">
        <f t="shared" si="42"/>
        <v>245.2095798</v>
      </c>
      <c r="S158" s="75">
        <f t="shared" si="42"/>
        <v>560.4790395</v>
      </c>
      <c r="T158" s="75">
        <f t="shared" si="42"/>
        <v>210.1796398</v>
      </c>
      <c r="U158" s="75">
        <f t="shared" si="42"/>
        <v>140.1197599</v>
      </c>
      <c r="V158" s="75">
        <f t="shared" si="42"/>
        <v>0</v>
      </c>
      <c r="W158" s="75">
        <f t="shared" si="42"/>
        <v>175.1496998</v>
      </c>
      <c r="X158" s="75">
        <f t="shared" si="42"/>
        <v>0</v>
      </c>
      <c r="Y158" s="75">
        <f t="shared" si="42"/>
        <v>0</v>
      </c>
      <c r="Z158" s="75">
        <f t="shared" si="42"/>
        <v>0</v>
      </c>
      <c r="AA158" s="75">
        <f t="shared" si="42"/>
        <v>0</v>
      </c>
      <c r="AB158" s="75">
        <f t="shared" si="42"/>
        <v>0</v>
      </c>
      <c r="AC158" s="75">
        <f t="shared" si="42"/>
        <v>0</v>
      </c>
      <c r="AD158" s="75">
        <f t="shared" si="42"/>
        <v>0</v>
      </c>
    </row>
    <row r="159">
      <c r="A159" s="57" t="s">
        <v>116</v>
      </c>
      <c r="B159" s="57" t="s">
        <v>1194</v>
      </c>
      <c r="C159" s="57" t="s">
        <v>1195</v>
      </c>
      <c r="D159" s="57" t="s">
        <v>1163</v>
      </c>
      <c r="E159" s="58">
        <v>3.03126572495</v>
      </c>
      <c r="F159" s="75">
        <f t="shared" ref="F159:AD159" si="43">F103/$E159</f>
        <v>0</v>
      </c>
      <c r="G159" s="75">
        <f t="shared" si="43"/>
        <v>1319.580783</v>
      </c>
      <c r="H159" s="75">
        <f t="shared" si="43"/>
        <v>1979.371175</v>
      </c>
      <c r="I159" s="75" t="str">
        <f t="shared" si="43"/>
        <v>#VALUE!</v>
      </c>
      <c r="J159" s="75">
        <f t="shared" si="43"/>
        <v>1979.371175</v>
      </c>
      <c r="K159" s="75">
        <f t="shared" si="43"/>
        <v>659.7903917</v>
      </c>
      <c r="L159" s="75">
        <f t="shared" si="43"/>
        <v>0</v>
      </c>
      <c r="M159" s="75">
        <f t="shared" si="43"/>
        <v>0</v>
      </c>
      <c r="N159" s="75">
        <f t="shared" si="43"/>
        <v>0</v>
      </c>
      <c r="O159" s="75">
        <f t="shared" si="43"/>
        <v>0</v>
      </c>
      <c r="P159" s="75">
        <f t="shared" si="43"/>
        <v>0</v>
      </c>
      <c r="Q159" s="75">
        <f t="shared" si="43"/>
        <v>329.8951958</v>
      </c>
      <c r="R159" s="75">
        <f t="shared" si="43"/>
        <v>0</v>
      </c>
      <c r="S159" s="75">
        <f t="shared" si="43"/>
        <v>329.8951958</v>
      </c>
      <c r="T159" s="75">
        <f t="shared" si="43"/>
        <v>0</v>
      </c>
      <c r="U159" s="75">
        <f t="shared" si="43"/>
        <v>0</v>
      </c>
      <c r="V159" s="75">
        <f t="shared" si="43"/>
        <v>0</v>
      </c>
      <c r="W159" s="75">
        <f t="shared" si="43"/>
        <v>0</v>
      </c>
      <c r="X159" s="75">
        <f t="shared" si="43"/>
        <v>0</v>
      </c>
      <c r="Y159" s="75">
        <f t="shared" si="43"/>
        <v>0</v>
      </c>
      <c r="Z159" s="75">
        <f t="shared" si="43"/>
        <v>0</v>
      </c>
      <c r="AA159" s="75">
        <f t="shared" si="43"/>
        <v>0</v>
      </c>
      <c r="AB159" s="75">
        <f t="shared" si="43"/>
        <v>0</v>
      </c>
      <c r="AC159" s="75">
        <f t="shared" si="43"/>
        <v>0</v>
      </c>
      <c r="AD159" s="75">
        <f t="shared" si="43"/>
        <v>0</v>
      </c>
    </row>
    <row r="160">
      <c r="A160" s="57" t="s">
        <v>234</v>
      </c>
      <c r="B160" s="57" t="s">
        <v>1176</v>
      </c>
      <c r="C160" s="57" t="s">
        <v>1177</v>
      </c>
      <c r="D160" s="57" t="s">
        <v>1163</v>
      </c>
      <c r="E160" s="58">
        <v>7.61309912288</v>
      </c>
      <c r="F160" s="75">
        <f t="shared" ref="F160:AD160" si="44">F104/$E160</f>
        <v>0</v>
      </c>
      <c r="G160" s="75">
        <f t="shared" si="44"/>
        <v>394.0576566</v>
      </c>
      <c r="H160" s="75">
        <f t="shared" si="44"/>
        <v>394.0576566</v>
      </c>
      <c r="I160" s="75" t="str">
        <f t="shared" si="44"/>
        <v>#VALUE!</v>
      </c>
      <c r="J160" s="75">
        <f t="shared" si="44"/>
        <v>131.3525522</v>
      </c>
      <c r="K160" s="75">
        <f t="shared" si="44"/>
        <v>0</v>
      </c>
      <c r="L160" s="75">
        <f t="shared" si="44"/>
        <v>0</v>
      </c>
      <c r="M160" s="75">
        <f t="shared" si="44"/>
        <v>0</v>
      </c>
      <c r="N160" s="75">
        <f t="shared" si="44"/>
        <v>0</v>
      </c>
      <c r="O160" s="75">
        <f t="shared" si="44"/>
        <v>197.0288283</v>
      </c>
      <c r="P160" s="75">
        <f t="shared" si="44"/>
        <v>328.3813805</v>
      </c>
      <c r="Q160" s="75">
        <f t="shared" si="44"/>
        <v>656.762761</v>
      </c>
      <c r="R160" s="75">
        <f t="shared" si="44"/>
        <v>0</v>
      </c>
      <c r="S160" s="75">
        <f t="shared" si="44"/>
        <v>525.4102088</v>
      </c>
      <c r="T160" s="75">
        <f t="shared" si="44"/>
        <v>131.3525522</v>
      </c>
      <c r="U160" s="75">
        <f t="shared" si="44"/>
        <v>197.0288283</v>
      </c>
      <c r="V160" s="75">
        <f t="shared" si="44"/>
        <v>197.0288283</v>
      </c>
      <c r="W160" s="75">
        <f t="shared" si="44"/>
        <v>0</v>
      </c>
      <c r="X160" s="75">
        <f t="shared" si="44"/>
        <v>0</v>
      </c>
      <c r="Y160" s="75">
        <f t="shared" si="44"/>
        <v>0</v>
      </c>
      <c r="Z160" s="75">
        <f t="shared" si="44"/>
        <v>0</v>
      </c>
      <c r="AA160" s="75">
        <f t="shared" si="44"/>
        <v>0</v>
      </c>
      <c r="AB160" s="75">
        <f t="shared" si="44"/>
        <v>0</v>
      </c>
      <c r="AC160" s="75">
        <f t="shared" si="44"/>
        <v>0</v>
      </c>
      <c r="AD160" s="75">
        <f t="shared" si="44"/>
        <v>0</v>
      </c>
    </row>
    <row r="161">
      <c r="A161" s="57" t="s">
        <v>234</v>
      </c>
      <c r="B161" s="57" t="s">
        <v>1178</v>
      </c>
      <c r="C161" s="57" t="s">
        <v>1179</v>
      </c>
      <c r="D161" s="57" t="s">
        <v>1163</v>
      </c>
      <c r="E161" s="58">
        <v>1.22864749961</v>
      </c>
      <c r="F161" s="75">
        <f t="shared" ref="F161:AD161" si="45">F105/$E161</f>
        <v>0</v>
      </c>
      <c r="G161" s="75">
        <f t="shared" si="45"/>
        <v>2441.709279</v>
      </c>
      <c r="H161" s="75">
        <f t="shared" si="45"/>
        <v>2441.709279</v>
      </c>
      <c r="I161" s="75" t="str">
        <f t="shared" si="45"/>
        <v>#VALUE!</v>
      </c>
      <c r="J161" s="75">
        <f t="shared" si="45"/>
        <v>813.9030929</v>
      </c>
      <c r="K161" s="75">
        <f t="shared" si="45"/>
        <v>0</v>
      </c>
      <c r="L161" s="75">
        <f t="shared" si="45"/>
        <v>0</v>
      </c>
      <c r="M161" s="75">
        <f t="shared" si="45"/>
        <v>0</v>
      </c>
      <c r="N161" s="75">
        <f t="shared" si="45"/>
        <v>0</v>
      </c>
      <c r="O161" s="75">
        <f t="shared" si="45"/>
        <v>1220.854639</v>
      </c>
      <c r="P161" s="75">
        <f t="shared" si="45"/>
        <v>2034.757732</v>
      </c>
      <c r="Q161" s="75">
        <f t="shared" si="45"/>
        <v>4069.515464</v>
      </c>
      <c r="R161" s="75">
        <f t="shared" si="45"/>
        <v>0</v>
      </c>
      <c r="S161" s="75">
        <f t="shared" si="45"/>
        <v>813.9030929</v>
      </c>
      <c r="T161" s="75">
        <f t="shared" si="45"/>
        <v>813.9030929</v>
      </c>
      <c r="U161" s="75">
        <f t="shared" si="45"/>
        <v>162.7806186</v>
      </c>
      <c r="V161" s="75">
        <f t="shared" si="45"/>
        <v>162.7806186</v>
      </c>
      <c r="W161" s="75">
        <f t="shared" si="45"/>
        <v>0</v>
      </c>
      <c r="X161" s="75">
        <f t="shared" si="45"/>
        <v>0</v>
      </c>
      <c r="Y161" s="75">
        <f t="shared" si="45"/>
        <v>0</v>
      </c>
      <c r="Z161" s="75">
        <f t="shared" si="45"/>
        <v>0</v>
      </c>
      <c r="AA161" s="75">
        <f t="shared" si="45"/>
        <v>0</v>
      </c>
      <c r="AB161" s="75">
        <f t="shared" si="45"/>
        <v>0</v>
      </c>
      <c r="AC161" s="75">
        <f t="shared" si="45"/>
        <v>0</v>
      </c>
      <c r="AD161" s="75">
        <f t="shared" si="45"/>
        <v>0</v>
      </c>
    </row>
    <row r="162">
      <c r="A162" s="57" t="s">
        <v>234</v>
      </c>
      <c r="B162" s="57" t="s">
        <v>1180</v>
      </c>
      <c r="C162" s="57" t="s">
        <v>1181</v>
      </c>
      <c r="D162" s="57" t="s">
        <v>1163</v>
      </c>
      <c r="E162" s="58">
        <v>0.793302735532</v>
      </c>
      <c r="F162" s="75">
        <f t="shared" ref="F162:AD162" si="46">F106/$E162</f>
        <v>0</v>
      </c>
      <c r="G162" s="75">
        <f t="shared" si="46"/>
        <v>3781.658459</v>
      </c>
      <c r="H162" s="75">
        <f t="shared" si="46"/>
        <v>3781.658459</v>
      </c>
      <c r="I162" s="75" t="str">
        <f t="shared" si="46"/>
        <v>#VALUE!</v>
      </c>
      <c r="J162" s="75">
        <f t="shared" si="46"/>
        <v>1260.55282</v>
      </c>
      <c r="K162" s="75">
        <f t="shared" si="46"/>
        <v>0</v>
      </c>
      <c r="L162" s="75">
        <f t="shared" si="46"/>
        <v>0</v>
      </c>
      <c r="M162" s="75">
        <f t="shared" si="46"/>
        <v>0</v>
      </c>
      <c r="N162" s="75">
        <f t="shared" si="46"/>
        <v>0</v>
      </c>
      <c r="O162" s="75">
        <f t="shared" si="46"/>
        <v>1890.829229</v>
      </c>
      <c r="P162" s="75">
        <f t="shared" si="46"/>
        <v>3151.382049</v>
      </c>
      <c r="Q162" s="75">
        <f t="shared" si="46"/>
        <v>6302.764098</v>
      </c>
      <c r="R162" s="75">
        <f t="shared" si="46"/>
        <v>0</v>
      </c>
      <c r="S162" s="75">
        <f t="shared" si="46"/>
        <v>1260.55282</v>
      </c>
      <c r="T162" s="75">
        <f t="shared" si="46"/>
        <v>1260.55282</v>
      </c>
      <c r="U162" s="75">
        <f t="shared" si="46"/>
        <v>630.2764098</v>
      </c>
      <c r="V162" s="75">
        <f t="shared" si="46"/>
        <v>630.2764098</v>
      </c>
      <c r="W162" s="75">
        <f t="shared" si="46"/>
        <v>0</v>
      </c>
      <c r="X162" s="75">
        <f t="shared" si="46"/>
        <v>0</v>
      </c>
      <c r="Y162" s="75">
        <f t="shared" si="46"/>
        <v>0</v>
      </c>
      <c r="Z162" s="75">
        <f t="shared" si="46"/>
        <v>0</v>
      </c>
      <c r="AA162" s="75">
        <f t="shared" si="46"/>
        <v>18908.29229</v>
      </c>
      <c r="AB162" s="75">
        <f t="shared" si="46"/>
        <v>0</v>
      </c>
      <c r="AC162" s="75">
        <f t="shared" si="46"/>
        <v>0</v>
      </c>
      <c r="AD162" s="75">
        <f t="shared" si="46"/>
        <v>0</v>
      </c>
    </row>
    <row r="163">
      <c r="A163" s="57" t="s">
        <v>234</v>
      </c>
      <c r="B163" s="57" t="s">
        <v>1182</v>
      </c>
      <c r="C163" s="57" t="s">
        <v>1183</v>
      </c>
      <c r="D163" s="57" t="s">
        <v>1163</v>
      </c>
      <c r="E163" s="58">
        <v>8.17206825874</v>
      </c>
      <c r="F163" s="75">
        <f t="shared" ref="F163:AD163" si="47">F107/$E163</f>
        <v>0</v>
      </c>
      <c r="G163" s="75">
        <f t="shared" si="47"/>
        <v>367.104129</v>
      </c>
      <c r="H163" s="75">
        <f t="shared" si="47"/>
        <v>367.104129</v>
      </c>
      <c r="I163" s="75" t="str">
        <f t="shared" si="47"/>
        <v>#VALUE!</v>
      </c>
      <c r="J163" s="75">
        <f t="shared" si="47"/>
        <v>122.368043</v>
      </c>
      <c r="K163" s="75">
        <f t="shared" si="47"/>
        <v>0</v>
      </c>
      <c r="L163" s="75">
        <f t="shared" si="47"/>
        <v>0</v>
      </c>
      <c r="M163" s="75">
        <f t="shared" si="47"/>
        <v>0</v>
      </c>
      <c r="N163" s="75">
        <f t="shared" si="47"/>
        <v>0</v>
      </c>
      <c r="O163" s="75">
        <f t="shared" si="47"/>
        <v>183.5520645</v>
      </c>
      <c r="P163" s="75">
        <f t="shared" si="47"/>
        <v>305.9201075</v>
      </c>
      <c r="Q163" s="75">
        <f t="shared" si="47"/>
        <v>611.8402149</v>
      </c>
      <c r="R163" s="75">
        <f t="shared" si="47"/>
        <v>0</v>
      </c>
      <c r="S163" s="75">
        <f t="shared" si="47"/>
        <v>489.472172</v>
      </c>
      <c r="T163" s="75">
        <f t="shared" si="47"/>
        <v>122.368043</v>
      </c>
      <c r="U163" s="75">
        <f t="shared" si="47"/>
        <v>122.368043</v>
      </c>
      <c r="V163" s="75">
        <f t="shared" si="47"/>
        <v>122.368043</v>
      </c>
      <c r="W163" s="75">
        <f t="shared" si="47"/>
        <v>0</v>
      </c>
      <c r="X163" s="75">
        <f t="shared" si="47"/>
        <v>0</v>
      </c>
      <c r="Y163" s="75">
        <f t="shared" si="47"/>
        <v>0</v>
      </c>
      <c r="Z163" s="75">
        <f t="shared" si="47"/>
        <v>0</v>
      </c>
      <c r="AA163" s="75">
        <f t="shared" si="47"/>
        <v>0</v>
      </c>
      <c r="AB163" s="75">
        <f t="shared" si="47"/>
        <v>0</v>
      </c>
      <c r="AC163" s="75">
        <f t="shared" si="47"/>
        <v>0</v>
      </c>
      <c r="AD163" s="75">
        <f t="shared" si="47"/>
        <v>0</v>
      </c>
    </row>
    <row r="164">
      <c r="A164" s="57" t="s">
        <v>234</v>
      </c>
      <c r="B164" s="57" t="s">
        <v>1184</v>
      </c>
      <c r="C164" s="57" t="s">
        <v>1185</v>
      </c>
      <c r="D164" s="57" t="s">
        <v>1163</v>
      </c>
      <c r="E164" s="58">
        <v>3.28589956444</v>
      </c>
      <c r="F164" s="75">
        <f t="shared" ref="F164:AD164" si="48">F108/$E164</f>
        <v>0</v>
      </c>
      <c r="G164" s="75">
        <f t="shared" si="48"/>
        <v>912.9919954</v>
      </c>
      <c r="H164" s="75">
        <f t="shared" si="48"/>
        <v>912.9919954</v>
      </c>
      <c r="I164" s="75" t="str">
        <f t="shared" si="48"/>
        <v>#VALUE!</v>
      </c>
      <c r="J164" s="75">
        <f t="shared" si="48"/>
        <v>304.3306651</v>
      </c>
      <c r="K164" s="75">
        <f t="shared" si="48"/>
        <v>0</v>
      </c>
      <c r="L164" s="75">
        <f t="shared" si="48"/>
        <v>0</v>
      </c>
      <c r="M164" s="75">
        <f t="shared" si="48"/>
        <v>0</v>
      </c>
      <c r="N164" s="75">
        <f t="shared" si="48"/>
        <v>0</v>
      </c>
      <c r="O164" s="75">
        <f t="shared" si="48"/>
        <v>456.4959977</v>
      </c>
      <c r="P164" s="75">
        <f t="shared" si="48"/>
        <v>760.8266628</v>
      </c>
      <c r="Q164" s="75">
        <f t="shared" si="48"/>
        <v>1521.653326</v>
      </c>
      <c r="R164" s="75">
        <f t="shared" si="48"/>
        <v>0</v>
      </c>
      <c r="S164" s="75">
        <f t="shared" si="48"/>
        <v>304.3306651</v>
      </c>
      <c r="T164" s="75">
        <f t="shared" si="48"/>
        <v>304.3306651</v>
      </c>
      <c r="U164" s="75">
        <f t="shared" si="48"/>
        <v>608.6613303</v>
      </c>
      <c r="V164" s="75">
        <f t="shared" si="48"/>
        <v>608.6613303</v>
      </c>
      <c r="W164" s="75">
        <f t="shared" si="48"/>
        <v>0</v>
      </c>
      <c r="X164" s="75">
        <f t="shared" si="48"/>
        <v>0</v>
      </c>
      <c r="Y164" s="75">
        <f t="shared" si="48"/>
        <v>0</v>
      </c>
      <c r="Z164" s="75">
        <f t="shared" si="48"/>
        <v>0</v>
      </c>
      <c r="AA164" s="75">
        <f t="shared" si="48"/>
        <v>0</v>
      </c>
      <c r="AB164" s="75">
        <f t="shared" si="48"/>
        <v>0</v>
      </c>
      <c r="AC164" s="75">
        <f t="shared" si="48"/>
        <v>0</v>
      </c>
      <c r="AD164" s="75">
        <f t="shared" si="48"/>
        <v>0</v>
      </c>
    </row>
    <row r="165">
      <c r="A165" s="57" t="s">
        <v>234</v>
      </c>
      <c r="B165" s="57" t="s">
        <v>1186</v>
      </c>
      <c r="C165" s="57" t="s">
        <v>1187</v>
      </c>
      <c r="D165" s="57" t="s">
        <v>1163</v>
      </c>
      <c r="E165" s="58">
        <v>4.25885600318</v>
      </c>
      <c r="F165" s="75">
        <f t="shared" ref="F165:AD165" si="49">F109/$E165</f>
        <v>0</v>
      </c>
      <c r="G165" s="75">
        <f t="shared" si="49"/>
        <v>704.4145183</v>
      </c>
      <c r="H165" s="75">
        <f t="shared" si="49"/>
        <v>704.4145183</v>
      </c>
      <c r="I165" s="75" t="str">
        <f t="shared" si="49"/>
        <v>#VALUE!</v>
      </c>
      <c r="J165" s="75">
        <f t="shared" si="49"/>
        <v>234.8048394</v>
      </c>
      <c r="K165" s="75">
        <f t="shared" si="49"/>
        <v>0</v>
      </c>
      <c r="L165" s="75">
        <f t="shared" si="49"/>
        <v>0</v>
      </c>
      <c r="M165" s="75">
        <f t="shared" si="49"/>
        <v>0</v>
      </c>
      <c r="N165" s="75">
        <f t="shared" si="49"/>
        <v>0</v>
      </c>
      <c r="O165" s="75">
        <f t="shared" si="49"/>
        <v>352.2072592</v>
      </c>
      <c r="P165" s="75">
        <f t="shared" si="49"/>
        <v>587.0120986</v>
      </c>
      <c r="Q165" s="75">
        <f t="shared" si="49"/>
        <v>1174.024197</v>
      </c>
      <c r="R165" s="75">
        <f t="shared" si="49"/>
        <v>0</v>
      </c>
      <c r="S165" s="75">
        <f t="shared" si="49"/>
        <v>234.8048394</v>
      </c>
      <c r="T165" s="75">
        <f t="shared" si="49"/>
        <v>234.8048394</v>
      </c>
      <c r="U165" s="75">
        <f t="shared" si="49"/>
        <v>0</v>
      </c>
      <c r="V165" s="75">
        <f t="shared" si="49"/>
        <v>0</v>
      </c>
      <c r="W165" s="75">
        <f t="shared" si="49"/>
        <v>0</v>
      </c>
      <c r="X165" s="75">
        <f t="shared" si="49"/>
        <v>0</v>
      </c>
      <c r="Y165" s="75">
        <f t="shared" si="49"/>
        <v>0</v>
      </c>
      <c r="Z165" s="75">
        <f t="shared" si="49"/>
        <v>0</v>
      </c>
      <c r="AA165" s="75">
        <f t="shared" si="49"/>
        <v>0</v>
      </c>
      <c r="AB165" s="75">
        <f t="shared" si="49"/>
        <v>0</v>
      </c>
      <c r="AC165" s="75">
        <f t="shared" si="49"/>
        <v>0</v>
      </c>
      <c r="AD165" s="75">
        <f t="shared" si="49"/>
        <v>0</v>
      </c>
    </row>
    <row r="166">
      <c r="A166" s="57" t="s">
        <v>246</v>
      </c>
      <c r="B166" s="57" t="s">
        <v>1161</v>
      </c>
      <c r="C166" s="57" t="s">
        <v>1162</v>
      </c>
      <c r="D166" s="57" t="s">
        <v>1163</v>
      </c>
      <c r="E166" s="58">
        <v>15.9623321182</v>
      </c>
      <c r="F166" s="75">
        <f t="shared" ref="F166:AD166" si="50">F110/$E166</f>
        <v>0</v>
      </c>
      <c r="G166" s="75">
        <f t="shared" si="50"/>
        <v>0</v>
      </c>
      <c r="H166" s="75">
        <f t="shared" si="50"/>
        <v>0</v>
      </c>
      <c r="I166" s="75" t="str">
        <f t="shared" si="50"/>
        <v>#VALUE!</v>
      </c>
      <c r="J166" s="75">
        <f t="shared" si="50"/>
        <v>0</v>
      </c>
      <c r="K166" s="75">
        <f t="shared" si="50"/>
        <v>0</v>
      </c>
      <c r="L166" s="75">
        <f t="shared" si="50"/>
        <v>0</v>
      </c>
      <c r="M166" s="75">
        <f t="shared" si="50"/>
        <v>313.2374369</v>
      </c>
      <c r="N166" s="75">
        <f t="shared" si="50"/>
        <v>0</v>
      </c>
      <c r="O166" s="75">
        <f t="shared" si="50"/>
        <v>0</v>
      </c>
      <c r="P166" s="75">
        <f t="shared" si="50"/>
        <v>0</v>
      </c>
      <c r="Q166" s="75">
        <f t="shared" si="50"/>
        <v>0</v>
      </c>
      <c r="R166" s="75">
        <f t="shared" si="50"/>
        <v>0</v>
      </c>
      <c r="S166" s="75">
        <f t="shared" si="50"/>
        <v>62.64748738</v>
      </c>
      <c r="T166" s="75">
        <f t="shared" si="50"/>
        <v>125.2949748</v>
      </c>
      <c r="U166" s="75">
        <f t="shared" si="50"/>
        <v>125.2949748</v>
      </c>
      <c r="V166" s="75">
        <f t="shared" si="50"/>
        <v>0</v>
      </c>
      <c r="W166" s="75">
        <f t="shared" si="50"/>
        <v>0</v>
      </c>
      <c r="X166" s="75">
        <f t="shared" si="50"/>
        <v>0</v>
      </c>
      <c r="Y166" s="75">
        <f t="shared" si="50"/>
        <v>0</v>
      </c>
      <c r="Z166" s="75">
        <f t="shared" si="50"/>
        <v>0</v>
      </c>
      <c r="AA166" s="75">
        <f t="shared" si="50"/>
        <v>0</v>
      </c>
      <c r="AB166" s="75">
        <f t="shared" si="50"/>
        <v>0</v>
      </c>
      <c r="AC166" s="75">
        <f t="shared" si="50"/>
        <v>0</v>
      </c>
      <c r="AD166" s="75">
        <f t="shared" si="50"/>
        <v>0</v>
      </c>
    </row>
    <row r="167">
      <c r="A167" s="57" t="s">
        <v>246</v>
      </c>
      <c r="B167" s="57" t="s">
        <v>1137</v>
      </c>
      <c r="C167" s="57" t="s">
        <v>1138</v>
      </c>
      <c r="D167" s="57">
        <v>2026.0</v>
      </c>
      <c r="E167" s="58">
        <v>11.7990407647</v>
      </c>
      <c r="F167" s="75">
        <f t="shared" ref="F167:AD167" si="51">F111/$E167</f>
        <v>0</v>
      </c>
      <c r="G167" s="75">
        <f t="shared" si="51"/>
        <v>0</v>
      </c>
      <c r="H167" s="75">
        <f t="shared" si="51"/>
        <v>0</v>
      </c>
      <c r="I167" s="75" t="str">
        <f t="shared" si="51"/>
        <v>#VALUE!</v>
      </c>
      <c r="J167" s="75">
        <f t="shared" si="51"/>
        <v>0</v>
      </c>
      <c r="K167" s="75">
        <f t="shared" si="51"/>
        <v>0</v>
      </c>
      <c r="L167" s="75">
        <f t="shared" si="51"/>
        <v>0</v>
      </c>
      <c r="M167" s="75">
        <f t="shared" si="51"/>
        <v>423.7632618</v>
      </c>
      <c r="N167" s="75">
        <f t="shared" si="51"/>
        <v>0</v>
      </c>
      <c r="O167" s="75">
        <f t="shared" si="51"/>
        <v>0</v>
      </c>
      <c r="P167" s="75">
        <f t="shared" si="51"/>
        <v>0</v>
      </c>
      <c r="Q167" s="75">
        <f t="shared" si="51"/>
        <v>0</v>
      </c>
      <c r="R167" s="75">
        <f t="shared" si="51"/>
        <v>0</v>
      </c>
      <c r="S167" s="75">
        <f t="shared" si="51"/>
        <v>0</v>
      </c>
      <c r="T167" s="75">
        <f t="shared" si="51"/>
        <v>0</v>
      </c>
      <c r="U167" s="75">
        <f t="shared" si="51"/>
        <v>0</v>
      </c>
      <c r="V167" s="75">
        <f t="shared" si="51"/>
        <v>254.2579571</v>
      </c>
      <c r="W167" s="75">
        <f t="shared" si="51"/>
        <v>423.7632618</v>
      </c>
      <c r="X167" s="75">
        <f t="shared" si="51"/>
        <v>508.5159141</v>
      </c>
      <c r="Y167" s="75">
        <f t="shared" si="51"/>
        <v>339.0106094</v>
      </c>
      <c r="Z167" s="75">
        <f t="shared" si="51"/>
        <v>0</v>
      </c>
      <c r="AA167" s="75">
        <f t="shared" si="51"/>
        <v>0</v>
      </c>
      <c r="AB167" s="75">
        <f t="shared" si="51"/>
        <v>0</v>
      </c>
      <c r="AC167" s="75">
        <f t="shared" si="51"/>
        <v>0</v>
      </c>
      <c r="AD167" s="75">
        <f t="shared" si="51"/>
        <v>0</v>
      </c>
    </row>
    <row r="168">
      <c r="A168" s="57" t="s">
        <v>246</v>
      </c>
      <c r="B168" s="57" t="s">
        <v>1166</v>
      </c>
      <c r="C168" s="57" t="s">
        <v>1167</v>
      </c>
      <c r="D168" s="57" t="s">
        <v>1163</v>
      </c>
      <c r="E168" s="58">
        <v>27.4170248389</v>
      </c>
      <c r="F168" s="75">
        <f t="shared" ref="F168:AD168" si="52">F112/$E168</f>
        <v>0</v>
      </c>
      <c r="G168" s="75">
        <f t="shared" si="52"/>
        <v>0</v>
      </c>
      <c r="H168" s="75">
        <f t="shared" si="52"/>
        <v>0</v>
      </c>
      <c r="I168" s="75" t="str">
        <f t="shared" si="52"/>
        <v>#VALUE!</v>
      </c>
      <c r="J168" s="75">
        <f t="shared" si="52"/>
        <v>0</v>
      </c>
      <c r="K168" s="75">
        <f t="shared" si="52"/>
        <v>0</v>
      </c>
      <c r="L168" s="75">
        <f t="shared" si="52"/>
        <v>0</v>
      </c>
      <c r="M168" s="75">
        <f t="shared" si="52"/>
        <v>182.3684382</v>
      </c>
      <c r="N168" s="75">
        <f t="shared" si="52"/>
        <v>0</v>
      </c>
      <c r="O168" s="75">
        <f t="shared" si="52"/>
        <v>0</v>
      </c>
      <c r="P168" s="75">
        <f t="shared" si="52"/>
        <v>0</v>
      </c>
      <c r="Q168" s="75">
        <f t="shared" si="52"/>
        <v>0</v>
      </c>
      <c r="R168" s="75">
        <f t="shared" si="52"/>
        <v>0</v>
      </c>
      <c r="S168" s="75">
        <f t="shared" si="52"/>
        <v>72.94737528</v>
      </c>
      <c r="T168" s="75">
        <f t="shared" si="52"/>
        <v>36.47368764</v>
      </c>
      <c r="U168" s="75">
        <f t="shared" si="52"/>
        <v>0</v>
      </c>
      <c r="V168" s="75">
        <f t="shared" si="52"/>
        <v>0</v>
      </c>
      <c r="W168" s="75">
        <f t="shared" si="52"/>
        <v>0</v>
      </c>
      <c r="X168" s="75">
        <f t="shared" si="52"/>
        <v>0</v>
      </c>
      <c r="Y168" s="75">
        <f t="shared" si="52"/>
        <v>0</v>
      </c>
      <c r="Z168" s="75">
        <f t="shared" si="52"/>
        <v>0</v>
      </c>
      <c r="AA168" s="75">
        <f t="shared" si="52"/>
        <v>0</v>
      </c>
      <c r="AB168" s="75">
        <f t="shared" si="52"/>
        <v>0</v>
      </c>
      <c r="AC168" s="75">
        <f t="shared" si="52"/>
        <v>0</v>
      </c>
      <c r="AD168" s="75">
        <f t="shared" si="52"/>
        <v>0</v>
      </c>
    </row>
    <row r="169">
      <c r="A169" s="57" t="s">
        <v>246</v>
      </c>
      <c r="B169" s="57" t="s">
        <v>1111</v>
      </c>
      <c r="C169" s="57" t="s">
        <v>1112</v>
      </c>
      <c r="D169" s="57">
        <v>2023.0</v>
      </c>
      <c r="E169" s="58">
        <v>8.68807045352</v>
      </c>
      <c r="F169" s="75">
        <f t="shared" ref="F169:AD169" si="53">F113/$E169</f>
        <v>0</v>
      </c>
      <c r="G169" s="75">
        <f t="shared" si="53"/>
        <v>0</v>
      </c>
      <c r="H169" s="75">
        <f t="shared" si="53"/>
        <v>0</v>
      </c>
      <c r="I169" s="75" t="str">
        <f t="shared" si="53"/>
        <v>#VALUE!</v>
      </c>
      <c r="J169" s="75">
        <f t="shared" si="53"/>
        <v>0</v>
      </c>
      <c r="K169" s="75">
        <f t="shared" si="53"/>
        <v>0</v>
      </c>
      <c r="L169" s="75">
        <f t="shared" si="53"/>
        <v>0</v>
      </c>
      <c r="M169" s="75">
        <f t="shared" si="53"/>
        <v>0</v>
      </c>
      <c r="N169" s="75">
        <f t="shared" si="53"/>
        <v>0</v>
      </c>
      <c r="O169" s="75">
        <f t="shared" si="53"/>
        <v>0</v>
      </c>
      <c r="P169" s="75">
        <f t="shared" si="53"/>
        <v>0</v>
      </c>
      <c r="Q169" s="75">
        <f t="shared" si="53"/>
        <v>0</v>
      </c>
      <c r="R169" s="75">
        <f t="shared" si="53"/>
        <v>0</v>
      </c>
      <c r="S169" s="75">
        <f t="shared" si="53"/>
        <v>0</v>
      </c>
      <c r="T169" s="75">
        <f t="shared" si="53"/>
        <v>0</v>
      </c>
      <c r="U169" s="75">
        <f t="shared" si="53"/>
        <v>0</v>
      </c>
      <c r="V169" s="75">
        <f t="shared" si="53"/>
        <v>0</v>
      </c>
      <c r="W169" s="75">
        <f t="shared" si="53"/>
        <v>0</v>
      </c>
      <c r="X169" s="75">
        <f t="shared" si="53"/>
        <v>0</v>
      </c>
      <c r="Y169" s="75">
        <f t="shared" si="53"/>
        <v>0</v>
      </c>
      <c r="Z169" s="75">
        <f t="shared" si="53"/>
        <v>0</v>
      </c>
      <c r="AA169" s="75">
        <f t="shared" si="53"/>
        <v>230.2007115</v>
      </c>
      <c r="AB169" s="75">
        <f t="shared" si="53"/>
        <v>345.3010673</v>
      </c>
      <c r="AC169" s="75">
        <f t="shared" si="53"/>
        <v>0</v>
      </c>
      <c r="AD169" s="75">
        <f t="shared" si="53"/>
        <v>0</v>
      </c>
    </row>
    <row r="170">
      <c r="A170" s="57"/>
      <c r="B170" s="57"/>
      <c r="C170" s="57"/>
      <c r="D170" s="57"/>
      <c r="E170" s="58"/>
      <c r="F170" s="57"/>
      <c r="G170" s="59"/>
      <c r="H170" s="59"/>
      <c r="I170" s="59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>
      <c r="A171" s="57"/>
      <c r="B171" s="57"/>
      <c r="C171" s="57"/>
      <c r="D171" s="57"/>
      <c r="E171" s="58"/>
      <c r="F171" s="57"/>
      <c r="G171" s="59"/>
      <c r="H171" s="59"/>
      <c r="I171" s="59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>
      <c r="A172" s="57"/>
      <c r="B172" s="57"/>
      <c r="C172" s="57"/>
      <c r="D172" s="57"/>
      <c r="E172" s="58"/>
      <c r="F172" s="57"/>
      <c r="G172" s="59"/>
      <c r="H172" s="59"/>
      <c r="I172" s="59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>
      <c r="A173" s="57"/>
      <c r="B173" s="57"/>
      <c r="C173" s="57"/>
      <c r="D173" s="57"/>
      <c r="E173" s="58"/>
      <c r="F173" s="57"/>
      <c r="G173" s="59"/>
      <c r="H173" s="59"/>
      <c r="I173" s="59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>
      <c r="A174" s="57"/>
      <c r="B174" s="57"/>
      <c r="C174" s="57"/>
      <c r="D174" s="57"/>
      <c r="E174" s="58"/>
      <c r="F174" s="57"/>
      <c r="G174" s="59"/>
      <c r="H174" s="59"/>
      <c r="I174" s="59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>
      <c r="A175" s="57"/>
      <c r="B175" s="57"/>
      <c r="C175" s="57"/>
      <c r="D175" s="57"/>
      <c r="E175" s="58"/>
      <c r="F175" s="57"/>
      <c r="G175" s="59"/>
      <c r="H175" s="59"/>
      <c r="I175" s="59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>
      <c r="A176" s="57"/>
      <c r="B176" s="57"/>
      <c r="C176" s="57"/>
      <c r="D176" s="57"/>
      <c r="E176" s="58"/>
      <c r="F176" s="57"/>
      <c r="G176" s="59"/>
      <c r="H176" s="59"/>
      <c r="I176" s="59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>
      <c r="A177" s="57"/>
      <c r="B177" s="57"/>
      <c r="C177" s="57"/>
      <c r="D177" s="57"/>
      <c r="E177" s="58"/>
      <c r="F177" s="57"/>
      <c r="G177" s="59"/>
      <c r="H177" s="59"/>
      <c r="I177" s="59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>
      <c r="A178" s="57"/>
      <c r="B178" s="57"/>
      <c r="C178" s="57"/>
      <c r="D178" s="57"/>
      <c r="E178" s="58"/>
      <c r="F178" s="57"/>
      <c r="G178" s="59"/>
      <c r="H178" s="59"/>
      <c r="I178" s="59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>
      <c r="A179" s="57"/>
      <c r="B179" s="57"/>
      <c r="C179" s="57"/>
      <c r="D179" s="57"/>
      <c r="E179" s="58"/>
      <c r="F179" s="57"/>
      <c r="G179" s="59"/>
      <c r="H179" s="59"/>
      <c r="I179" s="59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>
      <c r="A180" s="57"/>
      <c r="B180" s="57"/>
      <c r="C180" s="57"/>
      <c r="D180" s="57"/>
      <c r="E180" s="58"/>
      <c r="F180" s="57"/>
      <c r="G180" s="59"/>
      <c r="H180" s="59"/>
      <c r="I180" s="59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>
      <c r="A181" s="57"/>
      <c r="B181" s="57"/>
      <c r="C181" s="57"/>
      <c r="D181" s="57"/>
      <c r="E181" s="58"/>
      <c r="F181" s="57"/>
      <c r="G181" s="59"/>
      <c r="H181" s="59"/>
      <c r="I181" s="59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>
      <c r="A182" s="57"/>
      <c r="B182" s="57"/>
      <c r="C182" s="57"/>
      <c r="D182" s="57"/>
      <c r="E182" s="58"/>
      <c r="F182" s="57"/>
      <c r="G182" s="59"/>
      <c r="H182" s="59"/>
      <c r="I182" s="59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>
      <c r="A183" s="57"/>
      <c r="B183" s="57"/>
      <c r="C183" s="57"/>
      <c r="D183" s="57"/>
      <c r="E183" s="58"/>
      <c r="F183" s="57"/>
      <c r="G183" s="59"/>
      <c r="H183" s="59"/>
      <c r="I183" s="59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>
      <c r="A184" s="57"/>
      <c r="B184" s="57"/>
      <c r="C184" s="57"/>
      <c r="D184" s="57"/>
      <c r="E184" s="58"/>
      <c r="F184" s="57"/>
      <c r="G184" s="59"/>
      <c r="H184" s="59"/>
      <c r="I184" s="59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>
      <c r="A185" s="57"/>
      <c r="B185" s="57"/>
      <c r="C185" s="57"/>
      <c r="D185" s="57"/>
      <c r="E185" s="58"/>
      <c r="F185" s="57"/>
      <c r="G185" s="59"/>
      <c r="H185" s="59"/>
      <c r="I185" s="59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>
      <c r="A186" s="57"/>
      <c r="B186" s="57"/>
      <c r="C186" s="57"/>
      <c r="D186" s="57"/>
      <c r="E186" s="58"/>
      <c r="F186" s="57"/>
      <c r="G186" s="59"/>
      <c r="H186" s="59"/>
      <c r="I186" s="59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>
      <c r="A187" s="57"/>
      <c r="B187" s="57"/>
      <c r="C187" s="57"/>
      <c r="D187" s="57"/>
      <c r="E187" s="58"/>
      <c r="F187" s="57"/>
      <c r="G187" s="59"/>
      <c r="H187" s="59"/>
      <c r="I187" s="59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>
      <c r="A188" s="57"/>
      <c r="B188" s="57"/>
      <c r="C188" s="57"/>
      <c r="D188" s="57"/>
      <c r="E188" s="58"/>
      <c r="F188" s="57"/>
      <c r="G188" s="59"/>
      <c r="H188" s="59"/>
      <c r="I188" s="59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>
      <c r="A189" s="57"/>
      <c r="B189" s="57"/>
      <c r="C189" s="57"/>
      <c r="D189" s="57"/>
      <c r="E189" s="58"/>
      <c r="F189" s="57"/>
      <c r="G189" s="59"/>
      <c r="H189" s="59"/>
      <c r="I189" s="59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>
      <c r="A190" s="57"/>
      <c r="B190" s="57"/>
      <c r="C190" s="57"/>
      <c r="D190" s="57"/>
      <c r="E190" s="58"/>
      <c r="F190" s="57"/>
      <c r="G190" s="59"/>
      <c r="H190" s="59"/>
      <c r="I190" s="59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>
      <c r="A191" s="57"/>
      <c r="B191" s="57"/>
      <c r="C191" s="57"/>
      <c r="D191" s="57"/>
      <c r="E191" s="58"/>
      <c r="F191" s="57"/>
      <c r="G191" s="59"/>
      <c r="H191" s="59"/>
      <c r="I191" s="59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>
      <c r="A192" s="57"/>
      <c r="B192" s="57"/>
      <c r="C192" s="57"/>
      <c r="D192" s="57"/>
      <c r="E192" s="58"/>
      <c r="F192" s="57"/>
      <c r="G192" s="59"/>
      <c r="H192" s="59"/>
      <c r="I192" s="59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>
      <c r="A193" s="57"/>
      <c r="B193" s="57"/>
      <c r="C193" s="57"/>
      <c r="D193" s="57"/>
      <c r="E193" s="58"/>
      <c r="F193" s="57"/>
      <c r="G193" s="59"/>
      <c r="H193" s="59"/>
      <c r="I193" s="59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>
      <c r="A194" s="57"/>
      <c r="B194" s="57"/>
      <c r="C194" s="57"/>
      <c r="D194" s="57"/>
      <c r="E194" s="58"/>
      <c r="F194" s="57"/>
      <c r="G194" s="59"/>
      <c r="H194" s="59"/>
      <c r="I194" s="59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>
      <c r="A195" s="57"/>
      <c r="B195" s="57"/>
      <c r="C195" s="57"/>
      <c r="D195" s="57"/>
      <c r="E195" s="58"/>
      <c r="F195" s="57"/>
      <c r="G195" s="59"/>
      <c r="H195" s="59"/>
      <c r="I195" s="59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>
      <c r="A196" s="57"/>
      <c r="B196" s="57"/>
      <c r="C196" s="57"/>
      <c r="D196" s="57"/>
      <c r="E196" s="58"/>
      <c r="F196" s="57"/>
      <c r="G196" s="59"/>
      <c r="H196" s="59"/>
      <c r="I196" s="59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>
      <c r="A197" s="57"/>
      <c r="B197" s="57"/>
      <c r="C197" s="57"/>
      <c r="D197" s="57"/>
      <c r="E197" s="58"/>
      <c r="F197" s="57"/>
      <c r="G197" s="59"/>
      <c r="H197" s="59"/>
      <c r="I197" s="59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>
      <c r="A198" s="57"/>
      <c r="B198" s="57"/>
      <c r="C198" s="57"/>
      <c r="D198" s="57"/>
      <c r="E198" s="58"/>
      <c r="F198" s="57"/>
      <c r="G198" s="59"/>
      <c r="H198" s="59"/>
      <c r="I198" s="59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>
      <c r="A199" s="57"/>
      <c r="B199" s="57"/>
      <c r="C199" s="57"/>
      <c r="D199" s="57"/>
      <c r="E199" s="58"/>
      <c r="F199" s="57"/>
      <c r="G199" s="59"/>
      <c r="H199" s="59"/>
      <c r="I199" s="59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>
      <c r="A200" s="57"/>
      <c r="B200" s="57"/>
      <c r="C200" s="57"/>
      <c r="D200" s="57"/>
      <c r="E200" s="58"/>
      <c r="F200" s="57"/>
      <c r="G200" s="59"/>
      <c r="H200" s="59"/>
      <c r="I200" s="59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>
      <c r="A201" s="57"/>
      <c r="B201" s="57"/>
      <c r="C201" s="57"/>
      <c r="D201" s="57"/>
      <c r="E201" s="58"/>
      <c r="F201" s="57"/>
      <c r="G201" s="59"/>
      <c r="H201" s="59"/>
      <c r="I201" s="59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>
      <c r="A202" s="57"/>
      <c r="B202" s="57"/>
      <c r="C202" s="57"/>
      <c r="D202" s="57"/>
      <c r="E202" s="58"/>
      <c r="F202" s="57"/>
      <c r="G202" s="59"/>
      <c r="H202" s="59"/>
      <c r="I202" s="59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>
      <c r="A203" s="57"/>
      <c r="B203" s="57"/>
      <c r="C203" s="57"/>
      <c r="D203" s="57"/>
      <c r="E203" s="58"/>
      <c r="F203" s="57"/>
      <c r="G203" s="59"/>
      <c r="H203" s="59"/>
      <c r="I203" s="59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>
      <c r="A204" s="57"/>
      <c r="B204" s="57"/>
      <c r="C204" s="57"/>
      <c r="D204" s="57"/>
      <c r="E204" s="58"/>
      <c r="F204" s="57"/>
      <c r="G204" s="59"/>
      <c r="H204" s="59"/>
      <c r="I204" s="59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>
      <c r="A205" s="57"/>
      <c r="B205" s="57"/>
      <c r="C205" s="57"/>
      <c r="D205" s="57"/>
      <c r="E205" s="58"/>
      <c r="F205" s="57"/>
      <c r="G205" s="59"/>
      <c r="H205" s="59"/>
      <c r="I205" s="59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>
      <c r="A206" s="57"/>
      <c r="B206" s="57"/>
      <c r="C206" s="57"/>
      <c r="D206" s="57"/>
      <c r="E206" s="58"/>
      <c r="F206" s="57"/>
      <c r="G206" s="59"/>
      <c r="H206" s="59"/>
      <c r="I206" s="59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>
      <c r="A207" s="57"/>
      <c r="B207" s="57"/>
      <c r="C207" s="57"/>
      <c r="D207" s="57"/>
      <c r="E207" s="58"/>
      <c r="F207" s="57"/>
      <c r="G207" s="59"/>
      <c r="H207" s="59"/>
      <c r="I207" s="59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>
      <c r="A208" s="57"/>
      <c r="B208" s="57"/>
      <c r="C208" s="57"/>
      <c r="D208" s="57"/>
      <c r="E208" s="58"/>
      <c r="F208" s="57"/>
      <c r="G208" s="59"/>
      <c r="H208" s="59"/>
      <c r="I208" s="59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>
      <c r="A209" s="57"/>
      <c r="B209" s="57"/>
      <c r="C209" s="57"/>
      <c r="D209" s="57"/>
      <c r="E209" s="58"/>
      <c r="F209" s="57"/>
      <c r="G209" s="59"/>
      <c r="H209" s="59"/>
      <c r="I209" s="59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>
      <c r="A210" s="57"/>
      <c r="B210" s="57"/>
      <c r="C210" s="57"/>
      <c r="D210" s="57"/>
      <c r="E210" s="58"/>
      <c r="F210" s="57"/>
      <c r="G210" s="59"/>
      <c r="H210" s="59"/>
      <c r="I210" s="59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>
      <c r="A211" s="57"/>
      <c r="B211" s="57"/>
      <c r="C211" s="57"/>
      <c r="D211" s="57"/>
      <c r="E211" s="58"/>
      <c r="F211" s="57"/>
      <c r="G211" s="59"/>
      <c r="H211" s="59"/>
      <c r="I211" s="59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>
      <c r="A212" s="57"/>
      <c r="B212" s="57"/>
      <c r="C212" s="57"/>
      <c r="D212" s="57"/>
      <c r="E212" s="58"/>
      <c r="F212" s="57"/>
      <c r="G212" s="59"/>
      <c r="H212" s="59"/>
      <c r="I212" s="59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>
      <c r="A213" s="57"/>
      <c r="B213" s="57"/>
      <c r="C213" s="57"/>
      <c r="D213" s="57"/>
      <c r="E213" s="58"/>
      <c r="F213" s="57"/>
      <c r="G213" s="59"/>
      <c r="H213" s="59"/>
      <c r="I213" s="59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>
      <c r="A214" s="57"/>
      <c r="B214" s="57"/>
      <c r="C214" s="57"/>
      <c r="D214" s="57"/>
      <c r="E214" s="58"/>
      <c r="F214" s="57"/>
      <c r="G214" s="59"/>
      <c r="H214" s="59"/>
      <c r="I214" s="59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>
      <c r="A215" s="57"/>
      <c r="B215" s="57"/>
      <c r="C215" s="57"/>
      <c r="D215" s="57"/>
      <c r="E215" s="58"/>
      <c r="F215" s="57"/>
      <c r="G215" s="59"/>
      <c r="H215" s="59"/>
      <c r="I215" s="59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>
      <c r="A216" s="57"/>
      <c r="B216" s="57"/>
      <c r="C216" s="57"/>
      <c r="D216" s="57"/>
      <c r="E216" s="58"/>
      <c r="F216" s="57"/>
      <c r="G216" s="59"/>
      <c r="H216" s="59"/>
      <c r="I216" s="59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>
      <c r="A217" s="57"/>
      <c r="B217" s="57"/>
      <c r="C217" s="57"/>
      <c r="D217" s="57"/>
      <c r="E217" s="58"/>
      <c r="F217" s="57"/>
      <c r="G217" s="59"/>
      <c r="H217" s="59"/>
      <c r="I217" s="59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>
      <c r="A218" s="57"/>
      <c r="B218" s="57"/>
      <c r="C218" s="57"/>
      <c r="D218" s="57"/>
      <c r="E218" s="58"/>
      <c r="F218" s="57"/>
      <c r="G218" s="59"/>
      <c r="H218" s="59"/>
      <c r="I218" s="59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>
      <c r="A219" s="57"/>
      <c r="B219" s="57"/>
      <c r="C219" s="57"/>
      <c r="D219" s="57"/>
      <c r="E219" s="58"/>
      <c r="F219" s="57"/>
      <c r="G219" s="59"/>
      <c r="H219" s="59"/>
      <c r="I219" s="59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>
      <c r="A220" s="57"/>
      <c r="B220" s="57"/>
      <c r="C220" s="57"/>
      <c r="D220" s="57"/>
      <c r="E220" s="58"/>
      <c r="F220" s="57"/>
      <c r="G220" s="59"/>
      <c r="H220" s="59"/>
      <c r="I220" s="59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>
      <c r="A221" s="57"/>
      <c r="B221" s="57"/>
      <c r="C221" s="57"/>
      <c r="D221" s="57"/>
      <c r="E221" s="58"/>
      <c r="F221" s="57"/>
      <c r="G221" s="59"/>
      <c r="H221" s="59"/>
      <c r="I221" s="59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>
      <c r="A222" s="57"/>
      <c r="B222" s="57"/>
      <c r="C222" s="57"/>
      <c r="D222" s="57"/>
      <c r="E222" s="58"/>
      <c r="F222" s="57"/>
      <c r="G222" s="59"/>
      <c r="H222" s="59"/>
      <c r="I222" s="59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>
      <c r="A223" s="57"/>
      <c r="B223" s="57"/>
      <c r="C223" s="57"/>
      <c r="D223" s="57"/>
      <c r="E223" s="58"/>
      <c r="F223" s="57"/>
      <c r="G223" s="59"/>
      <c r="H223" s="59"/>
      <c r="I223" s="59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>
      <c r="A224" s="57"/>
      <c r="B224" s="57"/>
      <c r="C224" s="57"/>
      <c r="D224" s="57"/>
      <c r="E224" s="58"/>
      <c r="F224" s="57"/>
      <c r="G224" s="59"/>
      <c r="H224" s="59"/>
      <c r="I224" s="59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>
      <c r="A225" s="57"/>
      <c r="B225" s="57"/>
      <c r="C225" s="57"/>
      <c r="D225" s="57"/>
      <c r="E225" s="58"/>
      <c r="F225" s="57"/>
      <c r="G225" s="59"/>
      <c r="H225" s="59"/>
      <c r="I225" s="59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>
      <c r="A226" s="57"/>
      <c r="B226" s="57"/>
      <c r="C226" s="57"/>
      <c r="D226" s="57"/>
      <c r="E226" s="58"/>
      <c r="F226" s="57"/>
      <c r="G226" s="59"/>
      <c r="H226" s="59"/>
      <c r="I226" s="59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>
      <c r="A227" s="57"/>
      <c r="B227" s="57"/>
      <c r="C227" s="57"/>
      <c r="D227" s="57"/>
      <c r="E227" s="58"/>
      <c r="F227" s="57"/>
      <c r="G227" s="59"/>
      <c r="H227" s="59"/>
      <c r="I227" s="59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>
      <c r="A228" s="57"/>
      <c r="B228" s="57"/>
      <c r="C228" s="57"/>
      <c r="D228" s="57"/>
      <c r="E228" s="58"/>
      <c r="F228" s="57"/>
      <c r="G228" s="59"/>
      <c r="H228" s="59"/>
      <c r="I228" s="59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>
      <c r="A229" s="57"/>
      <c r="B229" s="57"/>
      <c r="C229" s="57"/>
      <c r="D229" s="57"/>
      <c r="E229" s="58"/>
      <c r="F229" s="57"/>
      <c r="G229" s="59"/>
      <c r="H229" s="59"/>
      <c r="I229" s="59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>
      <c r="A230" s="57"/>
      <c r="B230" s="57"/>
      <c r="C230" s="57"/>
      <c r="D230" s="57"/>
      <c r="E230" s="58"/>
      <c r="F230" s="57"/>
      <c r="G230" s="59"/>
      <c r="H230" s="59"/>
      <c r="I230" s="59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>
      <c r="A231" s="57"/>
      <c r="B231" s="57"/>
      <c r="C231" s="57"/>
      <c r="D231" s="57"/>
      <c r="E231" s="58"/>
      <c r="F231" s="57"/>
      <c r="G231" s="59"/>
      <c r="H231" s="59"/>
      <c r="I231" s="59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>
      <c r="A232" s="57"/>
      <c r="B232" s="57"/>
      <c r="C232" s="57"/>
      <c r="D232" s="57"/>
      <c r="E232" s="58"/>
      <c r="F232" s="57"/>
      <c r="G232" s="59"/>
      <c r="H232" s="59"/>
      <c r="I232" s="59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>
      <c r="A233" s="57"/>
      <c r="B233" s="57"/>
      <c r="C233" s="57"/>
      <c r="D233" s="57"/>
      <c r="E233" s="58"/>
      <c r="F233" s="57"/>
      <c r="G233" s="59"/>
      <c r="H233" s="59"/>
      <c r="I233" s="59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>
      <c r="A234" s="57"/>
      <c r="B234" s="57"/>
      <c r="C234" s="57"/>
      <c r="D234" s="57"/>
      <c r="E234" s="58"/>
      <c r="F234" s="57"/>
      <c r="G234" s="59"/>
      <c r="H234" s="59"/>
      <c r="I234" s="59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>
      <c r="A235" s="57"/>
      <c r="B235" s="57"/>
      <c r="C235" s="57"/>
      <c r="D235" s="57"/>
      <c r="E235" s="58"/>
      <c r="F235" s="57"/>
      <c r="G235" s="59"/>
      <c r="H235" s="59"/>
      <c r="I235" s="59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>
      <c r="A236" s="57"/>
      <c r="B236" s="57"/>
      <c r="C236" s="57"/>
      <c r="D236" s="57"/>
      <c r="E236" s="58"/>
      <c r="F236" s="57"/>
      <c r="G236" s="59"/>
      <c r="H236" s="59"/>
      <c r="I236" s="59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>
      <c r="A237" s="57"/>
      <c r="B237" s="57"/>
      <c r="C237" s="57"/>
      <c r="D237" s="57"/>
      <c r="E237" s="58"/>
      <c r="F237" s="57"/>
      <c r="G237" s="59"/>
      <c r="H237" s="59"/>
      <c r="I237" s="59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>
      <c r="A238" s="57"/>
      <c r="B238" s="57"/>
      <c r="C238" s="57"/>
      <c r="D238" s="57"/>
      <c r="E238" s="58"/>
      <c r="F238" s="57"/>
      <c r="G238" s="59"/>
      <c r="H238" s="59"/>
      <c r="I238" s="59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>
      <c r="A239" s="57"/>
      <c r="B239" s="57"/>
      <c r="C239" s="57"/>
      <c r="D239" s="57"/>
      <c r="E239" s="58"/>
      <c r="F239" s="57"/>
      <c r="G239" s="59"/>
      <c r="H239" s="59"/>
      <c r="I239" s="59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>
      <c r="A240" s="57"/>
      <c r="B240" s="57"/>
      <c r="C240" s="57"/>
      <c r="D240" s="57"/>
      <c r="E240" s="58"/>
      <c r="F240" s="57"/>
      <c r="G240" s="59"/>
      <c r="H240" s="59"/>
      <c r="I240" s="59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>
      <c r="A241" s="57"/>
      <c r="B241" s="57"/>
      <c r="C241" s="57"/>
      <c r="D241" s="57"/>
      <c r="E241" s="58"/>
      <c r="F241" s="57"/>
      <c r="G241" s="59"/>
      <c r="H241" s="59"/>
      <c r="I241" s="59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>
      <c r="A242" s="57"/>
      <c r="B242" s="57"/>
      <c r="C242" s="57"/>
      <c r="D242" s="57"/>
      <c r="E242" s="58"/>
      <c r="F242" s="57"/>
      <c r="G242" s="59"/>
      <c r="H242" s="59"/>
      <c r="I242" s="59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>
      <c r="A243" s="57"/>
      <c r="B243" s="57"/>
      <c r="C243" s="57"/>
      <c r="D243" s="57"/>
      <c r="E243" s="58"/>
      <c r="F243" s="57"/>
      <c r="G243" s="59"/>
      <c r="H243" s="59"/>
      <c r="I243" s="59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>
      <c r="A244" s="57"/>
      <c r="B244" s="57"/>
      <c r="C244" s="57"/>
      <c r="D244" s="57"/>
      <c r="E244" s="58"/>
      <c r="F244" s="57"/>
      <c r="G244" s="59"/>
      <c r="H244" s="59"/>
      <c r="I244" s="59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>
      <c r="A245" s="57"/>
      <c r="B245" s="57"/>
      <c r="C245" s="57"/>
      <c r="D245" s="57"/>
      <c r="E245" s="58"/>
      <c r="F245" s="57"/>
      <c r="G245" s="59"/>
      <c r="H245" s="59"/>
      <c r="I245" s="59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>
      <c r="A246" s="57"/>
      <c r="B246" s="57"/>
      <c r="C246" s="57"/>
      <c r="D246" s="57"/>
      <c r="E246" s="58"/>
      <c r="F246" s="57"/>
      <c r="G246" s="59"/>
      <c r="H246" s="59"/>
      <c r="I246" s="59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>
      <c r="A247" s="57"/>
      <c r="B247" s="57"/>
      <c r="C247" s="57"/>
      <c r="D247" s="57"/>
      <c r="E247" s="58"/>
      <c r="F247" s="57"/>
      <c r="G247" s="59"/>
      <c r="H247" s="59"/>
      <c r="I247" s="59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>
      <c r="A248" s="57"/>
      <c r="B248" s="57"/>
      <c r="C248" s="57"/>
      <c r="D248" s="57"/>
      <c r="E248" s="58"/>
      <c r="F248" s="57"/>
      <c r="G248" s="59"/>
      <c r="H248" s="59"/>
      <c r="I248" s="59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>
      <c r="A249" s="57"/>
      <c r="B249" s="57"/>
      <c r="C249" s="57"/>
      <c r="D249" s="57"/>
      <c r="E249" s="58"/>
      <c r="F249" s="57"/>
      <c r="G249" s="59"/>
      <c r="H249" s="59"/>
      <c r="I249" s="59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>
      <c r="A250" s="57"/>
      <c r="B250" s="57"/>
      <c r="C250" s="57"/>
      <c r="D250" s="57"/>
      <c r="E250" s="58"/>
      <c r="F250" s="57"/>
      <c r="G250" s="59"/>
      <c r="H250" s="59"/>
      <c r="I250" s="59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>
      <c r="A251" s="57"/>
      <c r="B251" s="57"/>
      <c r="C251" s="57"/>
      <c r="D251" s="57"/>
      <c r="E251" s="58"/>
      <c r="F251" s="57"/>
      <c r="G251" s="59"/>
      <c r="H251" s="59"/>
      <c r="I251" s="59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>
      <c r="A252" s="57"/>
      <c r="B252" s="57"/>
      <c r="C252" s="57"/>
      <c r="D252" s="57"/>
      <c r="E252" s="58"/>
      <c r="F252" s="57"/>
      <c r="G252" s="59"/>
      <c r="H252" s="59"/>
      <c r="I252" s="59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>
      <c r="A253" s="57"/>
      <c r="B253" s="57"/>
      <c r="C253" s="57"/>
      <c r="D253" s="57"/>
      <c r="E253" s="58"/>
      <c r="F253" s="57"/>
      <c r="G253" s="59"/>
      <c r="H253" s="59"/>
      <c r="I253" s="59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>
      <c r="A254" s="57"/>
      <c r="B254" s="57"/>
      <c r="C254" s="57"/>
      <c r="D254" s="57"/>
      <c r="E254" s="58"/>
      <c r="F254" s="57"/>
      <c r="G254" s="59"/>
      <c r="H254" s="59"/>
      <c r="I254" s="59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>
      <c r="A255" s="57"/>
      <c r="B255" s="57"/>
      <c r="C255" s="57"/>
      <c r="D255" s="57"/>
      <c r="E255" s="58"/>
      <c r="F255" s="57"/>
      <c r="G255" s="59"/>
      <c r="H255" s="59"/>
      <c r="I255" s="59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>
      <c r="A256" s="57"/>
      <c r="B256" s="57"/>
      <c r="C256" s="57"/>
      <c r="D256" s="57"/>
      <c r="E256" s="58"/>
      <c r="F256" s="57"/>
      <c r="G256" s="59"/>
      <c r="H256" s="59"/>
      <c r="I256" s="59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>
      <c r="A257" s="57"/>
      <c r="B257" s="57"/>
      <c r="C257" s="57"/>
      <c r="D257" s="57"/>
      <c r="E257" s="58"/>
      <c r="F257" s="57"/>
      <c r="G257" s="59"/>
      <c r="H257" s="59"/>
      <c r="I257" s="59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>
      <c r="A258" s="57"/>
      <c r="B258" s="57"/>
      <c r="C258" s="57"/>
      <c r="D258" s="57"/>
      <c r="E258" s="58"/>
      <c r="F258" s="57"/>
      <c r="G258" s="59"/>
      <c r="H258" s="59"/>
      <c r="I258" s="59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>
      <c r="A259" s="57"/>
      <c r="B259" s="57"/>
      <c r="C259" s="57"/>
      <c r="D259" s="57"/>
      <c r="E259" s="58"/>
      <c r="F259" s="57"/>
      <c r="G259" s="59"/>
      <c r="H259" s="59"/>
      <c r="I259" s="59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>
      <c r="A260" s="57"/>
      <c r="B260" s="57"/>
      <c r="C260" s="57"/>
      <c r="D260" s="57"/>
      <c r="E260" s="58"/>
      <c r="F260" s="57"/>
      <c r="G260" s="59"/>
      <c r="H260" s="59"/>
      <c r="I260" s="59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>
      <c r="A261" s="57"/>
      <c r="B261" s="57"/>
      <c r="C261" s="57"/>
      <c r="D261" s="57"/>
      <c r="E261" s="58"/>
      <c r="F261" s="57"/>
      <c r="G261" s="59"/>
      <c r="H261" s="59"/>
      <c r="I261" s="59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>
      <c r="A262" s="57"/>
      <c r="B262" s="57"/>
      <c r="C262" s="57"/>
      <c r="D262" s="57"/>
      <c r="E262" s="58"/>
      <c r="F262" s="57"/>
      <c r="G262" s="59"/>
      <c r="H262" s="59"/>
      <c r="I262" s="59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>
      <c r="A263" s="57"/>
      <c r="B263" s="57"/>
      <c r="C263" s="57"/>
      <c r="D263" s="57"/>
      <c r="E263" s="58"/>
      <c r="F263" s="57"/>
      <c r="G263" s="59"/>
      <c r="H263" s="59"/>
      <c r="I263" s="59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>
      <c r="A264" s="57"/>
      <c r="B264" s="57"/>
      <c r="C264" s="57"/>
      <c r="D264" s="57"/>
      <c r="E264" s="58"/>
      <c r="F264" s="57"/>
      <c r="G264" s="59"/>
      <c r="H264" s="59"/>
      <c r="I264" s="59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>
      <c r="A265" s="57"/>
      <c r="B265" s="57"/>
      <c r="C265" s="57"/>
      <c r="D265" s="57"/>
      <c r="E265" s="58"/>
      <c r="F265" s="57"/>
      <c r="G265" s="59"/>
      <c r="H265" s="59"/>
      <c r="I265" s="59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>
      <c r="A266" s="57"/>
      <c r="B266" s="57"/>
      <c r="C266" s="57"/>
      <c r="D266" s="57"/>
      <c r="E266" s="58"/>
      <c r="F266" s="57"/>
      <c r="G266" s="59"/>
      <c r="H266" s="59"/>
      <c r="I266" s="59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>
      <c r="A267" s="57"/>
      <c r="B267" s="57"/>
      <c r="C267" s="57"/>
      <c r="D267" s="57"/>
      <c r="E267" s="58"/>
      <c r="F267" s="57"/>
      <c r="G267" s="59"/>
      <c r="H267" s="59"/>
      <c r="I267" s="59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>
      <c r="A268" s="57"/>
      <c r="B268" s="57"/>
      <c r="C268" s="57"/>
      <c r="D268" s="57"/>
      <c r="E268" s="58"/>
      <c r="F268" s="57"/>
      <c r="G268" s="59"/>
      <c r="H268" s="59"/>
      <c r="I268" s="59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>
      <c r="A269" s="57"/>
      <c r="B269" s="57"/>
      <c r="C269" s="57"/>
      <c r="D269" s="57"/>
      <c r="E269" s="58"/>
      <c r="F269" s="57"/>
      <c r="G269" s="59"/>
      <c r="H269" s="59"/>
      <c r="I269" s="59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>
      <c r="A270" s="57"/>
      <c r="B270" s="57"/>
      <c r="C270" s="57"/>
      <c r="D270" s="57"/>
      <c r="E270" s="58"/>
      <c r="F270" s="57"/>
      <c r="G270" s="59"/>
      <c r="H270" s="59"/>
      <c r="I270" s="59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>
      <c r="A271" s="57"/>
      <c r="B271" s="57"/>
      <c r="C271" s="57"/>
      <c r="D271" s="57"/>
      <c r="E271" s="58"/>
      <c r="F271" s="57"/>
      <c r="G271" s="59"/>
      <c r="H271" s="59"/>
      <c r="I271" s="59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>
      <c r="A272" s="57"/>
      <c r="B272" s="57"/>
      <c r="C272" s="57"/>
      <c r="D272" s="57"/>
      <c r="E272" s="58"/>
      <c r="F272" s="57"/>
      <c r="G272" s="59"/>
      <c r="H272" s="59"/>
      <c r="I272" s="59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>
      <c r="A273" s="57"/>
      <c r="B273" s="57"/>
      <c r="C273" s="57"/>
      <c r="D273" s="57"/>
      <c r="E273" s="58"/>
      <c r="F273" s="57"/>
      <c r="G273" s="59"/>
      <c r="H273" s="59"/>
      <c r="I273" s="59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>
      <c r="A274" s="57"/>
      <c r="B274" s="57"/>
      <c r="C274" s="57"/>
      <c r="D274" s="57"/>
      <c r="E274" s="58"/>
      <c r="F274" s="57"/>
      <c r="G274" s="59"/>
      <c r="H274" s="59"/>
      <c r="I274" s="59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>
      <c r="A275" s="57"/>
      <c r="B275" s="57"/>
      <c r="C275" s="57"/>
      <c r="D275" s="57"/>
      <c r="E275" s="58"/>
      <c r="F275" s="57"/>
      <c r="G275" s="59"/>
      <c r="H275" s="59"/>
      <c r="I275" s="59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>
      <c r="A276" s="57"/>
      <c r="B276" s="57"/>
      <c r="C276" s="57"/>
      <c r="D276" s="57"/>
      <c r="E276" s="58"/>
      <c r="F276" s="57"/>
      <c r="G276" s="59"/>
      <c r="H276" s="59"/>
      <c r="I276" s="59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>
      <c r="A277" s="57"/>
      <c r="B277" s="57"/>
      <c r="C277" s="57"/>
      <c r="D277" s="57"/>
      <c r="E277" s="58"/>
      <c r="F277" s="57"/>
      <c r="G277" s="59"/>
      <c r="H277" s="59"/>
      <c r="I277" s="59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>
      <c r="A278" s="57"/>
      <c r="B278" s="57"/>
      <c r="C278" s="57"/>
      <c r="D278" s="57"/>
      <c r="E278" s="58"/>
      <c r="F278" s="57"/>
      <c r="G278" s="59"/>
      <c r="H278" s="59"/>
      <c r="I278" s="59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>
      <c r="A279" s="57"/>
      <c r="B279" s="57"/>
      <c r="C279" s="57"/>
      <c r="D279" s="57"/>
      <c r="E279" s="58"/>
      <c r="F279" s="57"/>
      <c r="G279" s="59"/>
      <c r="H279" s="59"/>
      <c r="I279" s="59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>
      <c r="A280" s="57"/>
      <c r="B280" s="57"/>
      <c r="C280" s="57"/>
      <c r="D280" s="57"/>
      <c r="E280" s="58"/>
      <c r="F280" s="57"/>
      <c r="G280" s="59"/>
      <c r="H280" s="59"/>
      <c r="I280" s="59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>
      <c r="A281" s="57"/>
      <c r="B281" s="57"/>
      <c r="C281" s="57"/>
      <c r="D281" s="57"/>
      <c r="E281" s="58"/>
      <c r="F281" s="57"/>
      <c r="G281" s="59"/>
      <c r="H281" s="59"/>
      <c r="I281" s="59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>
      <c r="A282" s="57"/>
      <c r="B282" s="57"/>
      <c r="C282" s="57"/>
      <c r="D282" s="57"/>
      <c r="E282" s="58"/>
      <c r="F282" s="57"/>
      <c r="G282" s="59"/>
      <c r="H282" s="59"/>
      <c r="I282" s="59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>
      <c r="A283" s="57"/>
      <c r="B283" s="57"/>
      <c r="C283" s="57"/>
      <c r="D283" s="57"/>
      <c r="E283" s="58"/>
      <c r="F283" s="57"/>
      <c r="G283" s="59"/>
      <c r="H283" s="59"/>
      <c r="I283" s="59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>
      <c r="A284" s="57"/>
      <c r="B284" s="57"/>
      <c r="C284" s="57"/>
      <c r="D284" s="57"/>
      <c r="E284" s="58"/>
      <c r="F284" s="57"/>
      <c r="G284" s="59"/>
      <c r="H284" s="59"/>
      <c r="I284" s="59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>
      <c r="A285" s="57"/>
      <c r="B285" s="57"/>
      <c r="C285" s="57"/>
      <c r="D285" s="57"/>
      <c r="E285" s="58"/>
      <c r="F285" s="57"/>
      <c r="G285" s="59"/>
      <c r="H285" s="59"/>
      <c r="I285" s="59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>
      <c r="A286" s="57"/>
      <c r="B286" s="57"/>
      <c r="C286" s="57"/>
      <c r="D286" s="57"/>
      <c r="E286" s="58"/>
      <c r="F286" s="57"/>
      <c r="G286" s="59"/>
      <c r="H286" s="59"/>
      <c r="I286" s="59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>
      <c r="A287" s="57"/>
      <c r="B287" s="57"/>
      <c r="C287" s="57"/>
      <c r="D287" s="57"/>
      <c r="E287" s="58"/>
      <c r="F287" s="57"/>
      <c r="G287" s="59"/>
      <c r="H287" s="59"/>
      <c r="I287" s="59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>
      <c r="A288" s="57"/>
      <c r="B288" s="57"/>
      <c r="C288" s="57"/>
      <c r="D288" s="57"/>
      <c r="E288" s="58"/>
      <c r="F288" s="57"/>
      <c r="G288" s="59"/>
      <c r="H288" s="59"/>
      <c r="I288" s="59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>
      <c r="A289" s="57"/>
      <c r="B289" s="57"/>
      <c r="C289" s="57"/>
      <c r="D289" s="57"/>
      <c r="E289" s="58"/>
      <c r="F289" s="57"/>
      <c r="G289" s="59"/>
      <c r="H289" s="59"/>
      <c r="I289" s="59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>
      <c r="A290" s="57"/>
      <c r="B290" s="57"/>
      <c r="C290" s="57"/>
      <c r="D290" s="57"/>
      <c r="E290" s="58"/>
      <c r="F290" s="57"/>
      <c r="G290" s="59"/>
      <c r="H290" s="59"/>
      <c r="I290" s="59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>
      <c r="A291" s="57"/>
      <c r="B291" s="57"/>
      <c r="C291" s="57"/>
      <c r="D291" s="57"/>
      <c r="E291" s="58"/>
      <c r="F291" s="57"/>
      <c r="G291" s="59"/>
      <c r="H291" s="59"/>
      <c r="I291" s="59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>
      <c r="A292" s="57"/>
      <c r="B292" s="57"/>
      <c r="C292" s="57"/>
      <c r="D292" s="57"/>
      <c r="E292" s="58"/>
      <c r="F292" s="57"/>
      <c r="G292" s="59"/>
      <c r="H292" s="59"/>
      <c r="I292" s="59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>
      <c r="A293" s="57"/>
      <c r="B293" s="57"/>
      <c r="C293" s="57"/>
      <c r="D293" s="57"/>
      <c r="E293" s="58"/>
      <c r="F293" s="57"/>
      <c r="G293" s="59"/>
      <c r="H293" s="59"/>
      <c r="I293" s="59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>
      <c r="A294" s="57"/>
      <c r="B294" s="57"/>
      <c r="C294" s="57"/>
      <c r="D294" s="57"/>
      <c r="E294" s="58"/>
      <c r="F294" s="57"/>
      <c r="G294" s="59"/>
      <c r="H294" s="59"/>
      <c r="I294" s="59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>
      <c r="A295" s="57"/>
      <c r="B295" s="57"/>
      <c r="C295" s="57"/>
      <c r="D295" s="57"/>
      <c r="E295" s="58"/>
      <c r="F295" s="57"/>
      <c r="G295" s="59"/>
      <c r="H295" s="59"/>
      <c r="I295" s="59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>
      <c r="A296" s="57"/>
      <c r="B296" s="57"/>
      <c r="C296" s="57"/>
      <c r="D296" s="57"/>
      <c r="E296" s="58"/>
      <c r="F296" s="57"/>
      <c r="G296" s="59"/>
      <c r="H296" s="59"/>
      <c r="I296" s="59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>
      <c r="A297" s="57"/>
      <c r="B297" s="57"/>
      <c r="C297" s="57"/>
      <c r="D297" s="57"/>
      <c r="E297" s="58"/>
      <c r="F297" s="57"/>
      <c r="G297" s="59"/>
      <c r="H297" s="59"/>
      <c r="I297" s="59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>
      <c r="A298" s="57"/>
      <c r="B298" s="57"/>
      <c r="C298" s="57"/>
      <c r="D298" s="57"/>
      <c r="E298" s="58"/>
      <c r="F298" s="57"/>
      <c r="G298" s="59"/>
      <c r="H298" s="59"/>
      <c r="I298" s="59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>
      <c r="A299" s="57"/>
      <c r="B299" s="57"/>
      <c r="C299" s="57"/>
      <c r="D299" s="57"/>
      <c r="E299" s="58"/>
      <c r="F299" s="57"/>
      <c r="G299" s="59"/>
      <c r="H299" s="59"/>
      <c r="I299" s="59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>
      <c r="A300" s="57"/>
      <c r="B300" s="57"/>
      <c r="C300" s="57"/>
      <c r="D300" s="57"/>
      <c r="E300" s="58"/>
      <c r="F300" s="57"/>
      <c r="G300" s="59"/>
      <c r="H300" s="59"/>
      <c r="I300" s="59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>
      <c r="A301" s="57"/>
      <c r="B301" s="57"/>
      <c r="C301" s="57"/>
      <c r="D301" s="57"/>
      <c r="E301" s="58"/>
      <c r="F301" s="57"/>
      <c r="G301" s="59"/>
      <c r="H301" s="59"/>
      <c r="I301" s="59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>
      <c r="A302" s="57"/>
      <c r="B302" s="57"/>
      <c r="C302" s="57"/>
      <c r="D302" s="57"/>
      <c r="E302" s="58"/>
      <c r="F302" s="57"/>
      <c r="G302" s="59"/>
      <c r="H302" s="59"/>
      <c r="I302" s="59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>
      <c r="A303" s="57"/>
      <c r="B303" s="57"/>
      <c r="C303" s="57"/>
      <c r="D303" s="57"/>
      <c r="E303" s="58"/>
      <c r="F303" s="57"/>
      <c r="G303" s="59"/>
      <c r="H303" s="59"/>
      <c r="I303" s="59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>
      <c r="A304" s="57"/>
      <c r="B304" s="57"/>
      <c r="C304" s="57"/>
      <c r="D304" s="57"/>
      <c r="E304" s="58"/>
      <c r="F304" s="57"/>
      <c r="G304" s="59"/>
      <c r="H304" s="59"/>
      <c r="I304" s="59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>
      <c r="A305" s="57"/>
      <c r="B305" s="57"/>
      <c r="C305" s="57"/>
      <c r="D305" s="57"/>
      <c r="E305" s="58"/>
      <c r="F305" s="57"/>
      <c r="G305" s="59"/>
      <c r="H305" s="59"/>
      <c r="I305" s="59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>
      <c r="A306" s="57"/>
      <c r="B306" s="57"/>
      <c r="C306" s="57"/>
      <c r="D306" s="57"/>
      <c r="E306" s="58"/>
      <c r="F306" s="57"/>
      <c r="G306" s="59"/>
      <c r="H306" s="59"/>
      <c r="I306" s="59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>
      <c r="A307" s="57"/>
      <c r="B307" s="57"/>
      <c r="C307" s="57"/>
      <c r="D307" s="57"/>
      <c r="E307" s="58"/>
      <c r="F307" s="57"/>
      <c r="G307" s="59"/>
      <c r="H307" s="59"/>
      <c r="I307" s="59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>
      <c r="A308" s="57"/>
      <c r="B308" s="57"/>
      <c r="C308" s="57"/>
      <c r="D308" s="57"/>
      <c r="E308" s="58"/>
      <c r="F308" s="57"/>
      <c r="G308" s="59"/>
      <c r="H308" s="59"/>
      <c r="I308" s="59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>
      <c r="A309" s="57"/>
      <c r="B309" s="57"/>
      <c r="C309" s="57"/>
      <c r="D309" s="57"/>
      <c r="E309" s="58"/>
      <c r="F309" s="57"/>
      <c r="G309" s="59"/>
      <c r="H309" s="59"/>
      <c r="I309" s="59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>
      <c r="A310" s="57"/>
      <c r="B310" s="57"/>
      <c r="C310" s="57"/>
      <c r="D310" s="57"/>
      <c r="E310" s="58"/>
      <c r="F310" s="57"/>
      <c r="G310" s="59"/>
      <c r="H310" s="59"/>
      <c r="I310" s="59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>
      <c r="A311" s="57"/>
      <c r="B311" s="57"/>
      <c r="C311" s="57"/>
      <c r="D311" s="57"/>
      <c r="E311" s="58"/>
      <c r="F311" s="57"/>
      <c r="G311" s="59"/>
      <c r="H311" s="59"/>
      <c r="I311" s="59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>
      <c r="A312" s="57"/>
      <c r="B312" s="57"/>
      <c r="C312" s="57"/>
      <c r="D312" s="57"/>
      <c r="E312" s="58"/>
      <c r="F312" s="57"/>
      <c r="G312" s="59"/>
      <c r="H312" s="59"/>
      <c r="I312" s="59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>
      <c r="A313" s="57"/>
      <c r="B313" s="57"/>
      <c r="C313" s="57"/>
      <c r="D313" s="57"/>
      <c r="E313" s="58"/>
      <c r="F313" s="57"/>
      <c r="G313" s="59"/>
      <c r="H313" s="59"/>
      <c r="I313" s="59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>
      <c r="A314" s="57"/>
      <c r="B314" s="57"/>
      <c r="C314" s="57"/>
      <c r="D314" s="57"/>
      <c r="E314" s="58"/>
      <c r="F314" s="57"/>
      <c r="G314" s="59"/>
      <c r="H314" s="59"/>
      <c r="I314" s="59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>
      <c r="A315" s="57"/>
      <c r="B315" s="57"/>
      <c r="C315" s="57"/>
      <c r="D315" s="57"/>
      <c r="E315" s="58"/>
      <c r="F315" s="57"/>
      <c r="G315" s="59"/>
      <c r="H315" s="59"/>
      <c r="I315" s="59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>
      <c r="A316" s="57"/>
      <c r="B316" s="57"/>
      <c r="C316" s="57"/>
      <c r="D316" s="57"/>
      <c r="E316" s="58"/>
      <c r="F316" s="57"/>
      <c r="G316" s="59"/>
      <c r="H316" s="59"/>
      <c r="I316" s="59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>
      <c r="A317" s="57"/>
      <c r="B317" s="57"/>
      <c r="C317" s="57"/>
      <c r="D317" s="57"/>
      <c r="E317" s="58"/>
      <c r="F317" s="57"/>
      <c r="G317" s="59"/>
      <c r="H317" s="59"/>
      <c r="I317" s="59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>
      <c r="A318" s="57"/>
      <c r="B318" s="57"/>
      <c r="C318" s="57"/>
      <c r="D318" s="57"/>
      <c r="E318" s="58"/>
      <c r="F318" s="57"/>
      <c r="G318" s="59"/>
      <c r="H318" s="59"/>
      <c r="I318" s="59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>
      <c r="A319" s="57"/>
      <c r="B319" s="57"/>
      <c r="C319" s="57"/>
      <c r="D319" s="57"/>
      <c r="E319" s="58"/>
      <c r="F319" s="57"/>
      <c r="G319" s="59"/>
      <c r="H319" s="59"/>
      <c r="I319" s="59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>
      <c r="A320" s="57"/>
      <c r="B320" s="57"/>
      <c r="C320" s="57"/>
      <c r="D320" s="57"/>
      <c r="E320" s="58"/>
      <c r="F320" s="57"/>
      <c r="G320" s="59"/>
      <c r="H320" s="59"/>
      <c r="I320" s="59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>
      <c r="A321" s="57"/>
      <c r="B321" s="57"/>
      <c r="C321" s="57"/>
      <c r="D321" s="57"/>
      <c r="E321" s="58"/>
      <c r="F321" s="57"/>
      <c r="G321" s="59"/>
      <c r="H321" s="59"/>
      <c r="I321" s="59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>
      <c r="A322" s="57"/>
      <c r="B322" s="57"/>
      <c r="C322" s="57"/>
      <c r="D322" s="57"/>
      <c r="E322" s="58"/>
      <c r="F322" s="57"/>
      <c r="G322" s="59"/>
      <c r="H322" s="59"/>
      <c r="I322" s="59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>
      <c r="A323" s="57"/>
      <c r="B323" s="57"/>
      <c r="C323" s="57"/>
      <c r="D323" s="57"/>
      <c r="E323" s="58"/>
      <c r="F323" s="57"/>
      <c r="G323" s="59"/>
      <c r="H323" s="59"/>
      <c r="I323" s="59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>
      <c r="A324" s="57"/>
      <c r="B324" s="57"/>
      <c r="C324" s="57"/>
      <c r="D324" s="57"/>
      <c r="E324" s="58"/>
      <c r="F324" s="57"/>
      <c r="G324" s="59"/>
      <c r="H324" s="59"/>
      <c r="I324" s="59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>
      <c r="A325" s="57"/>
      <c r="B325" s="57"/>
      <c r="C325" s="57"/>
      <c r="D325" s="57"/>
      <c r="E325" s="58"/>
      <c r="F325" s="57"/>
      <c r="G325" s="59"/>
      <c r="H325" s="59"/>
      <c r="I325" s="59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>
      <c r="A326" s="57"/>
      <c r="B326" s="57"/>
      <c r="C326" s="57"/>
      <c r="D326" s="57"/>
      <c r="E326" s="58"/>
      <c r="F326" s="57"/>
      <c r="G326" s="59"/>
      <c r="H326" s="59"/>
      <c r="I326" s="59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>
      <c r="A327" s="57"/>
      <c r="B327" s="57"/>
      <c r="C327" s="57"/>
      <c r="D327" s="57"/>
      <c r="E327" s="58"/>
      <c r="F327" s="57"/>
      <c r="G327" s="59"/>
      <c r="H327" s="59"/>
      <c r="I327" s="59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>
      <c r="A328" s="57"/>
      <c r="B328" s="57"/>
      <c r="C328" s="57"/>
      <c r="D328" s="57"/>
      <c r="E328" s="58"/>
      <c r="F328" s="57"/>
      <c r="G328" s="59"/>
      <c r="H328" s="59"/>
      <c r="I328" s="59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>
      <c r="A329" s="57"/>
      <c r="B329" s="57"/>
      <c r="C329" s="57"/>
      <c r="D329" s="57"/>
      <c r="E329" s="58"/>
      <c r="F329" s="57"/>
      <c r="G329" s="59"/>
      <c r="H329" s="59"/>
      <c r="I329" s="59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>
      <c r="A330" s="57"/>
      <c r="B330" s="57"/>
      <c r="C330" s="57"/>
      <c r="D330" s="57"/>
      <c r="E330" s="58"/>
      <c r="F330" s="57"/>
      <c r="G330" s="59"/>
      <c r="H330" s="59"/>
      <c r="I330" s="59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>
      <c r="A331" s="57"/>
      <c r="B331" s="57"/>
      <c r="C331" s="57"/>
      <c r="D331" s="57"/>
      <c r="E331" s="58"/>
      <c r="F331" s="57"/>
      <c r="G331" s="59"/>
      <c r="H331" s="59"/>
      <c r="I331" s="59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>
      <c r="A332" s="57"/>
      <c r="B332" s="57"/>
      <c r="C332" s="57"/>
      <c r="D332" s="57"/>
      <c r="E332" s="58"/>
      <c r="F332" s="57"/>
      <c r="G332" s="59"/>
      <c r="H332" s="59"/>
      <c r="I332" s="59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>
      <c r="A333" s="57"/>
      <c r="B333" s="57"/>
      <c r="C333" s="57"/>
      <c r="D333" s="57"/>
      <c r="E333" s="58"/>
      <c r="F333" s="57"/>
      <c r="G333" s="59"/>
      <c r="H333" s="59"/>
      <c r="I333" s="59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>
      <c r="A334" s="57"/>
      <c r="B334" s="57"/>
      <c r="C334" s="57"/>
      <c r="D334" s="57"/>
      <c r="E334" s="58"/>
      <c r="F334" s="57"/>
      <c r="G334" s="59"/>
      <c r="H334" s="59"/>
      <c r="I334" s="59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>
      <c r="A335" s="57"/>
      <c r="B335" s="57"/>
      <c r="C335" s="57"/>
      <c r="D335" s="57"/>
      <c r="E335" s="58"/>
      <c r="F335" s="57"/>
      <c r="G335" s="59"/>
      <c r="H335" s="59"/>
      <c r="I335" s="59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>
      <c r="A336" s="57"/>
      <c r="B336" s="57"/>
      <c r="C336" s="57"/>
      <c r="D336" s="57"/>
      <c r="E336" s="58"/>
      <c r="F336" s="57"/>
      <c r="G336" s="59"/>
      <c r="H336" s="59"/>
      <c r="I336" s="59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>
      <c r="A337" s="57"/>
      <c r="B337" s="57"/>
      <c r="C337" s="57"/>
      <c r="D337" s="57"/>
      <c r="E337" s="58"/>
      <c r="F337" s="57"/>
      <c r="G337" s="59"/>
      <c r="H337" s="59"/>
      <c r="I337" s="59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>
      <c r="A338" s="57"/>
      <c r="B338" s="57"/>
      <c r="C338" s="57"/>
      <c r="D338" s="57"/>
      <c r="E338" s="58"/>
      <c r="F338" s="57"/>
      <c r="G338" s="59"/>
      <c r="H338" s="59"/>
      <c r="I338" s="59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>
      <c r="A339" s="57"/>
      <c r="B339" s="57"/>
      <c r="C339" s="57"/>
      <c r="D339" s="57"/>
      <c r="E339" s="58"/>
      <c r="F339" s="57"/>
      <c r="G339" s="59"/>
      <c r="H339" s="59"/>
      <c r="I339" s="59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>
      <c r="A340" s="57"/>
      <c r="B340" s="57"/>
      <c r="C340" s="57"/>
      <c r="D340" s="57"/>
      <c r="E340" s="58"/>
      <c r="F340" s="57"/>
      <c r="G340" s="59"/>
      <c r="H340" s="59"/>
      <c r="I340" s="59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>
      <c r="A341" s="57"/>
      <c r="B341" s="57"/>
      <c r="C341" s="57"/>
      <c r="D341" s="57"/>
      <c r="E341" s="58"/>
      <c r="F341" s="57"/>
      <c r="G341" s="59"/>
      <c r="H341" s="59"/>
      <c r="I341" s="59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>
      <c r="A342" s="57"/>
      <c r="B342" s="57"/>
      <c r="C342" s="57"/>
      <c r="D342" s="57"/>
      <c r="E342" s="58"/>
      <c r="F342" s="57"/>
      <c r="G342" s="59"/>
      <c r="H342" s="59"/>
      <c r="I342" s="59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>
      <c r="A343" s="57"/>
      <c r="B343" s="57"/>
      <c r="C343" s="57"/>
      <c r="D343" s="57"/>
      <c r="E343" s="58"/>
      <c r="F343" s="57"/>
      <c r="G343" s="59"/>
      <c r="H343" s="59"/>
      <c r="I343" s="59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>
      <c r="A344" s="57"/>
      <c r="B344" s="57"/>
      <c r="C344" s="57"/>
      <c r="D344" s="57"/>
      <c r="E344" s="58"/>
      <c r="F344" s="57"/>
      <c r="G344" s="59"/>
      <c r="H344" s="59"/>
      <c r="I344" s="59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>
      <c r="A345" s="57"/>
      <c r="B345" s="57"/>
      <c r="C345" s="57"/>
      <c r="D345" s="57"/>
      <c r="E345" s="58"/>
      <c r="F345" s="57"/>
      <c r="G345" s="59"/>
      <c r="H345" s="59"/>
      <c r="I345" s="59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>
      <c r="A346" s="57"/>
      <c r="B346" s="57"/>
      <c r="C346" s="57"/>
      <c r="D346" s="57"/>
      <c r="E346" s="58"/>
      <c r="F346" s="57"/>
      <c r="G346" s="59"/>
      <c r="H346" s="59"/>
      <c r="I346" s="59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>
      <c r="A347" s="57"/>
      <c r="B347" s="57"/>
      <c r="C347" s="57"/>
      <c r="D347" s="57"/>
      <c r="E347" s="58"/>
      <c r="F347" s="57"/>
      <c r="G347" s="59"/>
      <c r="H347" s="59"/>
      <c r="I347" s="59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>
      <c r="A348" s="57"/>
      <c r="B348" s="57"/>
      <c r="C348" s="57"/>
      <c r="D348" s="57"/>
      <c r="E348" s="58"/>
      <c r="F348" s="57"/>
      <c r="G348" s="59"/>
      <c r="H348" s="59"/>
      <c r="I348" s="59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>
      <c r="A349" s="57"/>
      <c r="B349" s="57"/>
      <c r="C349" s="57"/>
      <c r="D349" s="57"/>
      <c r="E349" s="58"/>
      <c r="F349" s="57"/>
      <c r="G349" s="59"/>
      <c r="H349" s="59"/>
      <c r="I349" s="59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>
      <c r="A350" s="57"/>
      <c r="B350" s="57"/>
      <c r="C350" s="57"/>
      <c r="D350" s="57"/>
      <c r="E350" s="58"/>
      <c r="F350" s="57"/>
      <c r="G350" s="59"/>
      <c r="H350" s="59"/>
      <c r="I350" s="59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>
      <c r="A351" s="57"/>
      <c r="B351" s="57"/>
      <c r="C351" s="57"/>
      <c r="D351" s="57"/>
      <c r="E351" s="58"/>
      <c r="F351" s="57"/>
      <c r="G351" s="59"/>
      <c r="H351" s="59"/>
      <c r="I351" s="59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>
      <c r="A352" s="57"/>
      <c r="B352" s="57"/>
      <c r="C352" s="57"/>
      <c r="D352" s="57"/>
      <c r="E352" s="58"/>
      <c r="F352" s="57"/>
      <c r="G352" s="59"/>
      <c r="H352" s="59"/>
      <c r="I352" s="59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>
      <c r="A353" s="57"/>
      <c r="B353" s="57"/>
      <c r="C353" s="57"/>
      <c r="D353" s="57"/>
      <c r="E353" s="58"/>
      <c r="F353" s="57"/>
      <c r="G353" s="59"/>
      <c r="H353" s="59"/>
      <c r="I353" s="59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>
      <c r="A354" s="57"/>
      <c r="B354" s="57"/>
      <c r="C354" s="57"/>
      <c r="D354" s="57"/>
      <c r="E354" s="58"/>
      <c r="F354" s="57"/>
      <c r="G354" s="59"/>
      <c r="H354" s="59"/>
      <c r="I354" s="59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>
      <c r="A355" s="57"/>
      <c r="B355" s="57"/>
      <c r="C355" s="57"/>
      <c r="D355" s="57"/>
      <c r="E355" s="58"/>
      <c r="F355" s="57"/>
      <c r="G355" s="59"/>
      <c r="H355" s="59"/>
      <c r="I355" s="59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>
      <c r="A356" s="57"/>
      <c r="B356" s="57"/>
      <c r="C356" s="57"/>
      <c r="D356" s="57"/>
      <c r="E356" s="58"/>
      <c r="F356" s="57"/>
      <c r="G356" s="59"/>
      <c r="H356" s="59"/>
      <c r="I356" s="59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>
      <c r="A357" s="57"/>
      <c r="B357" s="57"/>
      <c r="C357" s="57"/>
      <c r="D357" s="57"/>
      <c r="E357" s="58"/>
      <c r="F357" s="57"/>
      <c r="G357" s="59"/>
      <c r="H357" s="59"/>
      <c r="I357" s="59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>
      <c r="A358" s="57"/>
      <c r="B358" s="57"/>
      <c r="C358" s="57"/>
      <c r="D358" s="57"/>
      <c r="E358" s="58"/>
      <c r="F358" s="57"/>
      <c r="G358" s="59"/>
      <c r="H358" s="59"/>
      <c r="I358" s="59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>
      <c r="A359" s="57"/>
      <c r="B359" s="57"/>
      <c r="C359" s="57"/>
      <c r="D359" s="57"/>
      <c r="E359" s="58"/>
      <c r="F359" s="57"/>
      <c r="G359" s="59"/>
      <c r="H359" s="59"/>
      <c r="I359" s="59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>
      <c r="A360" s="57"/>
      <c r="B360" s="57"/>
      <c r="C360" s="57"/>
      <c r="D360" s="57"/>
      <c r="E360" s="58"/>
      <c r="F360" s="57"/>
      <c r="G360" s="59"/>
      <c r="H360" s="59"/>
      <c r="I360" s="59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>
      <c r="A361" s="57"/>
      <c r="B361" s="57"/>
      <c r="C361" s="57"/>
      <c r="D361" s="57"/>
      <c r="E361" s="58"/>
      <c r="F361" s="57"/>
      <c r="G361" s="59"/>
      <c r="H361" s="59"/>
      <c r="I361" s="59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>
      <c r="A362" s="57"/>
      <c r="B362" s="57"/>
      <c r="C362" s="57"/>
      <c r="D362" s="57"/>
      <c r="E362" s="58"/>
      <c r="F362" s="57"/>
      <c r="G362" s="59"/>
      <c r="H362" s="59"/>
      <c r="I362" s="59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>
      <c r="A363" s="57"/>
      <c r="B363" s="57"/>
      <c r="C363" s="57"/>
      <c r="D363" s="57"/>
      <c r="E363" s="58"/>
      <c r="F363" s="57"/>
      <c r="G363" s="59"/>
      <c r="H363" s="59"/>
      <c r="I363" s="59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>
      <c r="A364" s="57"/>
      <c r="B364" s="57"/>
      <c r="C364" s="57"/>
      <c r="D364" s="57"/>
      <c r="E364" s="58"/>
      <c r="F364" s="57"/>
      <c r="G364" s="59"/>
      <c r="H364" s="59"/>
      <c r="I364" s="59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>
      <c r="A365" s="57"/>
      <c r="B365" s="57"/>
      <c r="C365" s="57"/>
      <c r="D365" s="57"/>
      <c r="E365" s="58"/>
      <c r="F365" s="57"/>
      <c r="G365" s="59"/>
      <c r="H365" s="59"/>
      <c r="I365" s="59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>
      <c r="A366" s="57"/>
      <c r="B366" s="57"/>
      <c r="C366" s="57"/>
      <c r="D366" s="57"/>
      <c r="E366" s="58"/>
      <c r="F366" s="57"/>
      <c r="G366" s="59"/>
      <c r="H366" s="59"/>
      <c r="I366" s="59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>
      <c r="A367" s="57"/>
      <c r="B367" s="57"/>
      <c r="C367" s="57"/>
      <c r="D367" s="57"/>
      <c r="E367" s="58"/>
      <c r="F367" s="57"/>
      <c r="G367" s="59"/>
      <c r="H367" s="59"/>
      <c r="I367" s="59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>
      <c r="A368" s="57"/>
      <c r="B368" s="57"/>
      <c r="C368" s="57"/>
      <c r="D368" s="57"/>
      <c r="E368" s="58"/>
      <c r="F368" s="57"/>
      <c r="G368" s="59"/>
      <c r="H368" s="59"/>
      <c r="I368" s="59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>
      <c r="A369" s="57"/>
      <c r="B369" s="57"/>
      <c r="C369" s="57"/>
      <c r="D369" s="57"/>
      <c r="E369" s="58"/>
      <c r="F369" s="57"/>
      <c r="G369" s="59"/>
      <c r="H369" s="59"/>
      <c r="I369" s="59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>
      <c r="A370" s="57"/>
      <c r="B370" s="57"/>
      <c r="C370" s="57"/>
      <c r="D370" s="57"/>
      <c r="E370" s="58"/>
      <c r="F370" s="57"/>
      <c r="G370" s="59"/>
      <c r="H370" s="59"/>
      <c r="I370" s="59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>
      <c r="A371" s="57"/>
      <c r="B371" s="57"/>
      <c r="C371" s="57"/>
      <c r="D371" s="57"/>
      <c r="E371" s="58"/>
      <c r="F371" s="57"/>
      <c r="G371" s="59"/>
      <c r="H371" s="59"/>
      <c r="I371" s="59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>
      <c r="A372" s="57"/>
      <c r="B372" s="57"/>
      <c r="C372" s="57"/>
      <c r="D372" s="57"/>
      <c r="E372" s="58"/>
      <c r="F372" s="57"/>
      <c r="G372" s="59"/>
      <c r="H372" s="59"/>
      <c r="I372" s="59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>
      <c r="A373" s="57"/>
      <c r="B373" s="57"/>
      <c r="C373" s="57"/>
      <c r="D373" s="57"/>
      <c r="E373" s="58"/>
      <c r="F373" s="57"/>
      <c r="G373" s="59"/>
      <c r="H373" s="59"/>
      <c r="I373" s="59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>
      <c r="A374" s="57"/>
      <c r="B374" s="57"/>
      <c r="C374" s="57"/>
      <c r="D374" s="57"/>
      <c r="E374" s="58"/>
      <c r="F374" s="57"/>
      <c r="G374" s="59"/>
      <c r="H374" s="59"/>
      <c r="I374" s="59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>
      <c r="A375" s="57"/>
      <c r="B375" s="57"/>
      <c r="C375" s="57"/>
      <c r="D375" s="57"/>
      <c r="E375" s="58"/>
      <c r="F375" s="57"/>
      <c r="G375" s="59"/>
      <c r="H375" s="59"/>
      <c r="I375" s="59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>
      <c r="A376" s="57"/>
      <c r="B376" s="57"/>
      <c r="C376" s="57"/>
      <c r="D376" s="57"/>
      <c r="E376" s="58"/>
      <c r="F376" s="57"/>
      <c r="G376" s="59"/>
      <c r="H376" s="59"/>
      <c r="I376" s="59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>
      <c r="A377" s="57"/>
      <c r="B377" s="57"/>
      <c r="C377" s="57"/>
      <c r="D377" s="57"/>
      <c r="E377" s="58"/>
      <c r="F377" s="57"/>
      <c r="G377" s="59"/>
      <c r="H377" s="59"/>
      <c r="I377" s="59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>
      <c r="A378" s="57"/>
      <c r="B378" s="57"/>
      <c r="C378" s="57"/>
      <c r="D378" s="57"/>
      <c r="E378" s="58"/>
      <c r="F378" s="57"/>
      <c r="G378" s="59"/>
      <c r="H378" s="59"/>
      <c r="I378" s="59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>
      <c r="A379" s="57"/>
      <c r="B379" s="57"/>
      <c r="C379" s="57"/>
      <c r="D379" s="57"/>
      <c r="E379" s="58"/>
      <c r="F379" s="57"/>
      <c r="G379" s="59"/>
      <c r="H379" s="59"/>
      <c r="I379" s="59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>
      <c r="A380" s="57"/>
      <c r="B380" s="57"/>
      <c r="C380" s="57"/>
      <c r="D380" s="57"/>
      <c r="E380" s="58"/>
      <c r="F380" s="57"/>
      <c r="G380" s="59"/>
      <c r="H380" s="59"/>
      <c r="I380" s="59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>
      <c r="A381" s="57"/>
      <c r="B381" s="57"/>
      <c r="C381" s="57"/>
      <c r="D381" s="57"/>
      <c r="E381" s="58"/>
      <c r="F381" s="57"/>
      <c r="G381" s="59"/>
      <c r="H381" s="59"/>
      <c r="I381" s="59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>
      <c r="A382" s="57"/>
      <c r="B382" s="57"/>
      <c r="C382" s="57"/>
      <c r="D382" s="57"/>
      <c r="E382" s="58"/>
      <c r="F382" s="57"/>
      <c r="G382" s="59"/>
      <c r="H382" s="59"/>
      <c r="I382" s="59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>
      <c r="A383" s="57"/>
      <c r="B383" s="57"/>
      <c r="C383" s="57"/>
      <c r="D383" s="57"/>
      <c r="E383" s="58"/>
      <c r="F383" s="57"/>
      <c r="G383" s="59"/>
      <c r="H383" s="59"/>
      <c r="I383" s="59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>
      <c r="A384" s="57"/>
      <c r="B384" s="57"/>
      <c r="C384" s="57"/>
      <c r="D384" s="57"/>
      <c r="E384" s="58"/>
      <c r="F384" s="57"/>
      <c r="G384" s="59"/>
      <c r="H384" s="59"/>
      <c r="I384" s="59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>
      <c r="A385" s="57"/>
      <c r="B385" s="57"/>
      <c r="C385" s="57"/>
      <c r="D385" s="57"/>
      <c r="E385" s="58"/>
      <c r="F385" s="57"/>
      <c r="G385" s="59"/>
      <c r="H385" s="59"/>
      <c r="I385" s="59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>
      <c r="A386" s="57"/>
      <c r="B386" s="57"/>
      <c r="C386" s="57"/>
      <c r="D386" s="57"/>
      <c r="E386" s="58"/>
      <c r="F386" s="57"/>
      <c r="G386" s="59"/>
      <c r="H386" s="59"/>
      <c r="I386" s="59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>
      <c r="A387" s="57"/>
      <c r="B387" s="57"/>
      <c r="C387" s="57"/>
      <c r="D387" s="57"/>
      <c r="E387" s="58"/>
      <c r="F387" s="57"/>
      <c r="G387" s="59"/>
      <c r="H387" s="59"/>
      <c r="I387" s="59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>
      <c r="A388" s="57"/>
      <c r="B388" s="57"/>
      <c r="C388" s="57"/>
      <c r="D388" s="57"/>
      <c r="E388" s="58"/>
      <c r="F388" s="57"/>
      <c r="G388" s="59"/>
      <c r="H388" s="59"/>
      <c r="I388" s="59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>
      <c r="A389" s="57"/>
      <c r="B389" s="57"/>
      <c r="C389" s="57"/>
      <c r="D389" s="57"/>
      <c r="E389" s="58"/>
      <c r="F389" s="57"/>
      <c r="G389" s="59"/>
      <c r="H389" s="59"/>
      <c r="I389" s="59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>
      <c r="A390" s="57"/>
      <c r="B390" s="57"/>
      <c r="C390" s="57"/>
      <c r="D390" s="57"/>
      <c r="E390" s="58"/>
      <c r="F390" s="57"/>
      <c r="G390" s="59"/>
      <c r="H390" s="59"/>
      <c r="I390" s="59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>
      <c r="A391" s="57"/>
      <c r="B391" s="57"/>
      <c r="C391" s="57"/>
      <c r="D391" s="57"/>
      <c r="E391" s="58"/>
      <c r="F391" s="57"/>
      <c r="G391" s="59"/>
      <c r="H391" s="59"/>
      <c r="I391" s="59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>
      <c r="A392" s="57"/>
      <c r="B392" s="57"/>
      <c r="C392" s="57"/>
      <c r="D392" s="57"/>
      <c r="E392" s="58"/>
      <c r="F392" s="57"/>
      <c r="G392" s="59"/>
      <c r="H392" s="59"/>
      <c r="I392" s="59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>
      <c r="A393" s="57"/>
      <c r="B393" s="57"/>
      <c r="C393" s="57"/>
      <c r="D393" s="57"/>
      <c r="E393" s="58"/>
      <c r="F393" s="57"/>
      <c r="G393" s="59"/>
      <c r="H393" s="59"/>
      <c r="I393" s="59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>
      <c r="A394" s="57"/>
      <c r="B394" s="57"/>
      <c r="C394" s="57"/>
      <c r="D394" s="57"/>
      <c r="E394" s="58"/>
      <c r="F394" s="57"/>
      <c r="G394" s="59"/>
      <c r="H394" s="59"/>
      <c r="I394" s="59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>
      <c r="A395" s="57"/>
      <c r="B395" s="57"/>
      <c r="C395" s="57"/>
      <c r="D395" s="57"/>
      <c r="E395" s="58"/>
      <c r="F395" s="57"/>
      <c r="G395" s="59"/>
      <c r="H395" s="59"/>
      <c r="I395" s="59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>
      <c r="A396" s="57"/>
      <c r="B396" s="57"/>
      <c r="C396" s="57"/>
      <c r="D396" s="57"/>
      <c r="E396" s="58"/>
      <c r="F396" s="57"/>
      <c r="G396" s="59"/>
      <c r="H396" s="59"/>
      <c r="I396" s="59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>
      <c r="A397" s="57"/>
      <c r="B397" s="57"/>
      <c r="C397" s="57"/>
      <c r="D397" s="57"/>
      <c r="E397" s="58"/>
      <c r="F397" s="57"/>
      <c r="G397" s="59"/>
      <c r="H397" s="59"/>
      <c r="I397" s="59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>
      <c r="A398" s="57"/>
      <c r="B398" s="57"/>
      <c r="C398" s="57"/>
      <c r="D398" s="57"/>
      <c r="E398" s="58"/>
      <c r="F398" s="57"/>
      <c r="G398" s="59"/>
      <c r="H398" s="59"/>
      <c r="I398" s="59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>
      <c r="A399" s="57"/>
      <c r="B399" s="57"/>
      <c r="C399" s="57"/>
      <c r="D399" s="57"/>
      <c r="E399" s="58"/>
      <c r="F399" s="57"/>
      <c r="G399" s="59"/>
      <c r="H399" s="59"/>
      <c r="I399" s="59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>
      <c r="A400" s="57"/>
      <c r="B400" s="57"/>
      <c r="C400" s="57"/>
      <c r="D400" s="57"/>
      <c r="E400" s="58"/>
      <c r="F400" s="57"/>
      <c r="G400" s="59"/>
      <c r="H400" s="59"/>
      <c r="I400" s="59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>
      <c r="A401" s="57"/>
      <c r="B401" s="57"/>
      <c r="C401" s="57"/>
      <c r="D401" s="57"/>
      <c r="E401" s="58"/>
      <c r="F401" s="57"/>
      <c r="G401" s="59"/>
      <c r="H401" s="59"/>
      <c r="I401" s="59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>
      <c r="A402" s="57"/>
      <c r="B402" s="57"/>
      <c r="C402" s="57"/>
      <c r="D402" s="57"/>
      <c r="E402" s="58"/>
      <c r="F402" s="57"/>
      <c r="G402" s="59"/>
      <c r="H402" s="59"/>
      <c r="I402" s="59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>
      <c r="A403" s="57"/>
      <c r="B403" s="57"/>
      <c r="C403" s="57"/>
      <c r="D403" s="57"/>
      <c r="E403" s="58"/>
      <c r="F403" s="57"/>
      <c r="G403" s="59"/>
      <c r="H403" s="59"/>
      <c r="I403" s="59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>
      <c r="A404" s="57"/>
      <c r="B404" s="57"/>
      <c r="C404" s="57"/>
      <c r="D404" s="57"/>
      <c r="E404" s="58"/>
      <c r="F404" s="57"/>
      <c r="G404" s="59"/>
      <c r="H404" s="59"/>
      <c r="I404" s="59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>
      <c r="A405" s="57"/>
      <c r="B405" s="57"/>
      <c r="C405" s="57"/>
      <c r="D405" s="57"/>
      <c r="E405" s="58"/>
      <c r="F405" s="57"/>
      <c r="G405" s="59"/>
      <c r="H405" s="59"/>
      <c r="I405" s="59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>
      <c r="A406" s="57"/>
      <c r="B406" s="57"/>
      <c r="C406" s="57"/>
      <c r="D406" s="57"/>
      <c r="E406" s="58"/>
      <c r="F406" s="57"/>
      <c r="G406" s="59"/>
      <c r="H406" s="59"/>
      <c r="I406" s="59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>
      <c r="A407" s="57"/>
      <c r="B407" s="57"/>
      <c r="C407" s="57"/>
      <c r="D407" s="57"/>
      <c r="E407" s="58"/>
      <c r="F407" s="57"/>
      <c r="G407" s="59"/>
      <c r="H407" s="59"/>
      <c r="I407" s="59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>
      <c r="A408" s="57"/>
      <c r="B408" s="57"/>
      <c r="C408" s="57"/>
      <c r="D408" s="57"/>
      <c r="E408" s="58"/>
      <c r="F408" s="57"/>
      <c r="G408" s="59"/>
      <c r="H408" s="59"/>
      <c r="I408" s="59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>
      <c r="A409" s="57"/>
      <c r="B409" s="57"/>
      <c r="C409" s="57"/>
      <c r="D409" s="57"/>
      <c r="E409" s="58"/>
      <c r="F409" s="57"/>
      <c r="G409" s="59"/>
      <c r="H409" s="59"/>
      <c r="I409" s="59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>
      <c r="A410" s="57"/>
      <c r="B410" s="57"/>
      <c r="C410" s="57"/>
      <c r="D410" s="57"/>
      <c r="E410" s="58"/>
      <c r="F410" s="57"/>
      <c r="G410" s="59"/>
      <c r="H410" s="59"/>
      <c r="I410" s="59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>
      <c r="A411" s="57"/>
      <c r="B411" s="57"/>
      <c r="C411" s="57"/>
      <c r="D411" s="57"/>
      <c r="E411" s="58"/>
      <c r="F411" s="57"/>
      <c r="G411" s="59"/>
      <c r="H411" s="59"/>
      <c r="I411" s="59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>
      <c r="A412" s="57"/>
      <c r="B412" s="57"/>
      <c r="C412" s="57"/>
      <c r="D412" s="57"/>
      <c r="E412" s="58"/>
      <c r="F412" s="57"/>
      <c r="G412" s="59"/>
      <c r="H412" s="59"/>
      <c r="I412" s="59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>
      <c r="A413" s="57"/>
      <c r="B413" s="57"/>
      <c r="C413" s="57"/>
      <c r="D413" s="57"/>
      <c r="E413" s="58"/>
      <c r="F413" s="57"/>
      <c r="G413" s="59"/>
      <c r="H413" s="59"/>
      <c r="I413" s="59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>
      <c r="A414" s="57"/>
      <c r="B414" s="57"/>
      <c r="C414" s="57"/>
      <c r="D414" s="57"/>
      <c r="E414" s="58"/>
      <c r="F414" s="57"/>
      <c r="G414" s="59"/>
      <c r="H414" s="59"/>
      <c r="I414" s="59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>
      <c r="A415" s="57"/>
      <c r="B415" s="57"/>
      <c r="C415" s="57"/>
      <c r="D415" s="57"/>
      <c r="E415" s="58"/>
      <c r="F415" s="57"/>
      <c r="G415" s="59"/>
      <c r="H415" s="59"/>
      <c r="I415" s="59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>
      <c r="A416" s="57"/>
      <c r="B416" s="57"/>
      <c r="C416" s="57"/>
      <c r="D416" s="57"/>
      <c r="E416" s="58"/>
      <c r="F416" s="57"/>
      <c r="G416" s="59"/>
      <c r="H416" s="59"/>
      <c r="I416" s="59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>
      <c r="A417" s="57"/>
      <c r="B417" s="57"/>
      <c r="C417" s="57"/>
      <c r="D417" s="57"/>
      <c r="E417" s="58"/>
      <c r="F417" s="57"/>
      <c r="G417" s="59"/>
      <c r="H417" s="59"/>
      <c r="I417" s="59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>
      <c r="A418" s="57"/>
      <c r="B418" s="57"/>
      <c r="C418" s="57"/>
      <c r="D418" s="57"/>
      <c r="E418" s="58"/>
      <c r="F418" s="57"/>
      <c r="G418" s="59"/>
      <c r="H418" s="59"/>
      <c r="I418" s="59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>
      <c r="A419" s="57"/>
      <c r="B419" s="57"/>
      <c r="C419" s="57"/>
      <c r="D419" s="57"/>
      <c r="E419" s="58"/>
      <c r="F419" s="57"/>
      <c r="G419" s="59"/>
      <c r="H419" s="59"/>
      <c r="I419" s="59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>
      <c r="A420" s="57"/>
      <c r="B420" s="57"/>
      <c r="C420" s="57"/>
      <c r="D420" s="57"/>
      <c r="E420" s="58"/>
      <c r="F420" s="57"/>
      <c r="G420" s="59"/>
      <c r="H420" s="59"/>
      <c r="I420" s="59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>
      <c r="A421" s="57"/>
      <c r="B421" s="57"/>
      <c r="C421" s="57"/>
      <c r="D421" s="57"/>
      <c r="E421" s="58"/>
      <c r="F421" s="57"/>
      <c r="G421" s="59"/>
      <c r="H421" s="59"/>
      <c r="I421" s="59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>
      <c r="A422" s="57"/>
      <c r="B422" s="57"/>
      <c r="C422" s="57"/>
      <c r="D422" s="57"/>
      <c r="E422" s="58"/>
      <c r="F422" s="57"/>
      <c r="G422" s="59"/>
      <c r="H422" s="59"/>
      <c r="I422" s="59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>
      <c r="A423" s="57"/>
      <c r="B423" s="57"/>
      <c r="C423" s="57"/>
      <c r="D423" s="57"/>
      <c r="E423" s="58"/>
      <c r="F423" s="57"/>
      <c r="G423" s="59"/>
      <c r="H423" s="59"/>
      <c r="I423" s="59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>
      <c r="A424" s="57"/>
      <c r="B424" s="57"/>
      <c r="C424" s="57"/>
      <c r="D424" s="57"/>
      <c r="E424" s="58"/>
      <c r="F424" s="57"/>
      <c r="G424" s="59"/>
      <c r="H424" s="59"/>
      <c r="I424" s="59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>
      <c r="A425" s="57"/>
      <c r="B425" s="57"/>
      <c r="C425" s="57"/>
      <c r="D425" s="57"/>
      <c r="E425" s="58"/>
      <c r="F425" s="57"/>
      <c r="G425" s="59"/>
      <c r="H425" s="59"/>
      <c r="I425" s="59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>
      <c r="A426" s="57"/>
      <c r="B426" s="57"/>
      <c r="C426" s="57"/>
      <c r="D426" s="57"/>
      <c r="E426" s="58"/>
      <c r="F426" s="57"/>
      <c r="G426" s="59"/>
      <c r="H426" s="59"/>
      <c r="I426" s="59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>
      <c r="A427" s="57"/>
      <c r="B427" s="57"/>
      <c r="C427" s="57"/>
      <c r="D427" s="57"/>
      <c r="E427" s="58"/>
      <c r="F427" s="57"/>
      <c r="G427" s="59"/>
      <c r="H427" s="59"/>
      <c r="I427" s="59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>
      <c r="A428" s="57"/>
      <c r="B428" s="57"/>
      <c r="C428" s="57"/>
      <c r="D428" s="57"/>
      <c r="E428" s="58"/>
      <c r="F428" s="57"/>
      <c r="G428" s="59"/>
      <c r="H428" s="59"/>
      <c r="I428" s="59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>
      <c r="A429" s="57"/>
      <c r="B429" s="57"/>
      <c r="C429" s="57"/>
      <c r="D429" s="57"/>
      <c r="E429" s="58"/>
      <c r="F429" s="57"/>
      <c r="G429" s="59"/>
      <c r="H429" s="59"/>
      <c r="I429" s="59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>
      <c r="A430" s="57"/>
      <c r="B430" s="57"/>
      <c r="C430" s="57"/>
      <c r="D430" s="57"/>
      <c r="E430" s="58"/>
      <c r="F430" s="57"/>
      <c r="G430" s="59"/>
      <c r="H430" s="59"/>
      <c r="I430" s="59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>
      <c r="A431" s="57"/>
      <c r="B431" s="57"/>
      <c r="C431" s="57"/>
      <c r="D431" s="57"/>
      <c r="E431" s="58"/>
      <c r="F431" s="57"/>
      <c r="G431" s="59"/>
      <c r="H431" s="59"/>
      <c r="I431" s="59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>
      <c r="A432" s="57"/>
      <c r="B432" s="57"/>
      <c r="C432" s="57"/>
      <c r="D432" s="57"/>
      <c r="E432" s="58"/>
      <c r="F432" s="57"/>
      <c r="G432" s="59"/>
      <c r="H432" s="59"/>
      <c r="I432" s="59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>
      <c r="A433" s="57"/>
      <c r="B433" s="57"/>
      <c r="C433" s="57"/>
      <c r="D433" s="57"/>
      <c r="E433" s="58"/>
      <c r="F433" s="57"/>
      <c r="G433" s="59"/>
      <c r="H433" s="59"/>
      <c r="I433" s="59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>
      <c r="A434" s="57"/>
      <c r="B434" s="57"/>
      <c r="C434" s="57"/>
      <c r="D434" s="57"/>
      <c r="E434" s="58"/>
      <c r="F434" s="57"/>
      <c r="G434" s="59"/>
      <c r="H434" s="59"/>
      <c r="I434" s="59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>
      <c r="A435" s="57"/>
      <c r="B435" s="57"/>
      <c r="C435" s="57"/>
      <c r="D435" s="57"/>
      <c r="E435" s="58"/>
      <c r="F435" s="57"/>
      <c r="G435" s="59"/>
      <c r="H435" s="59"/>
      <c r="I435" s="59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>
      <c r="A436" s="57"/>
      <c r="B436" s="57"/>
      <c r="C436" s="57"/>
      <c r="D436" s="57"/>
      <c r="E436" s="58"/>
      <c r="F436" s="57"/>
      <c r="G436" s="59"/>
      <c r="H436" s="59"/>
      <c r="I436" s="59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>
      <c r="A437" s="57"/>
      <c r="B437" s="57"/>
      <c r="C437" s="57"/>
      <c r="D437" s="57"/>
      <c r="E437" s="58"/>
      <c r="F437" s="57"/>
      <c r="G437" s="59"/>
      <c r="H437" s="59"/>
      <c r="I437" s="59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>
      <c r="A438" s="57"/>
      <c r="B438" s="57"/>
      <c r="C438" s="57"/>
      <c r="D438" s="57"/>
      <c r="E438" s="58"/>
      <c r="F438" s="57"/>
      <c r="G438" s="59"/>
      <c r="H438" s="59"/>
      <c r="I438" s="59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>
      <c r="A439" s="57"/>
      <c r="B439" s="57"/>
      <c r="C439" s="57"/>
      <c r="D439" s="57"/>
      <c r="E439" s="58"/>
      <c r="F439" s="57"/>
      <c r="G439" s="59"/>
      <c r="H439" s="59"/>
      <c r="I439" s="59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>
      <c r="A440" s="57"/>
      <c r="B440" s="57"/>
      <c r="C440" s="57"/>
      <c r="D440" s="57"/>
      <c r="E440" s="58"/>
      <c r="F440" s="57"/>
      <c r="G440" s="59"/>
      <c r="H440" s="59"/>
      <c r="I440" s="59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>
      <c r="A441" s="57"/>
      <c r="B441" s="57"/>
      <c r="C441" s="57"/>
      <c r="D441" s="57"/>
      <c r="E441" s="58"/>
      <c r="F441" s="57"/>
      <c r="G441" s="59"/>
      <c r="H441" s="59"/>
      <c r="I441" s="59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>
      <c r="A442" s="57"/>
      <c r="B442" s="57"/>
      <c r="C442" s="57"/>
      <c r="D442" s="57"/>
      <c r="E442" s="58"/>
      <c r="F442" s="57"/>
      <c r="G442" s="59"/>
      <c r="H442" s="59"/>
      <c r="I442" s="59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>
      <c r="A443" s="57"/>
      <c r="B443" s="57"/>
      <c r="C443" s="57"/>
      <c r="D443" s="57"/>
      <c r="E443" s="58"/>
      <c r="F443" s="57"/>
      <c r="G443" s="59"/>
      <c r="H443" s="59"/>
      <c r="I443" s="59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>
      <c r="A444" s="57"/>
      <c r="B444" s="57"/>
      <c r="C444" s="57"/>
      <c r="D444" s="57"/>
      <c r="E444" s="58"/>
      <c r="F444" s="57"/>
      <c r="G444" s="59"/>
      <c r="H444" s="59"/>
      <c r="I444" s="59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>
      <c r="A445" s="57"/>
      <c r="B445" s="57"/>
      <c r="C445" s="57"/>
      <c r="D445" s="57"/>
      <c r="E445" s="58"/>
      <c r="F445" s="57"/>
      <c r="G445" s="59"/>
      <c r="H445" s="59"/>
      <c r="I445" s="59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>
      <c r="A446" s="57"/>
      <c r="B446" s="57"/>
      <c r="C446" s="57"/>
      <c r="D446" s="57"/>
      <c r="E446" s="58"/>
      <c r="F446" s="57"/>
      <c r="G446" s="59"/>
      <c r="H446" s="59"/>
      <c r="I446" s="59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>
      <c r="A447" s="57"/>
      <c r="B447" s="57"/>
      <c r="C447" s="57"/>
      <c r="D447" s="57"/>
      <c r="E447" s="58"/>
      <c r="F447" s="57"/>
      <c r="G447" s="59"/>
      <c r="H447" s="59"/>
      <c r="I447" s="59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>
      <c r="A448" s="57"/>
      <c r="B448" s="57"/>
      <c r="C448" s="57"/>
      <c r="D448" s="57"/>
      <c r="E448" s="58"/>
      <c r="F448" s="57"/>
      <c r="G448" s="59"/>
      <c r="H448" s="59"/>
      <c r="I448" s="59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>
      <c r="A449" s="57"/>
      <c r="B449" s="57"/>
      <c r="C449" s="57"/>
      <c r="D449" s="57"/>
      <c r="E449" s="58"/>
      <c r="F449" s="57"/>
      <c r="G449" s="59"/>
      <c r="H449" s="59"/>
      <c r="I449" s="59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>
      <c r="A450" s="57"/>
      <c r="B450" s="57"/>
      <c r="C450" s="57"/>
      <c r="D450" s="57"/>
      <c r="E450" s="58"/>
      <c r="F450" s="57"/>
      <c r="G450" s="59"/>
      <c r="H450" s="59"/>
      <c r="I450" s="59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>
      <c r="A451" s="57"/>
      <c r="B451" s="57"/>
      <c r="C451" s="57"/>
      <c r="D451" s="57"/>
      <c r="E451" s="58"/>
      <c r="F451" s="57"/>
      <c r="G451" s="59"/>
      <c r="H451" s="59"/>
      <c r="I451" s="59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>
      <c r="A452" s="57"/>
      <c r="B452" s="57"/>
      <c r="C452" s="57"/>
      <c r="D452" s="57"/>
      <c r="E452" s="58"/>
      <c r="F452" s="57"/>
      <c r="G452" s="59"/>
      <c r="H452" s="59"/>
      <c r="I452" s="59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>
      <c r="A453" s="57"/>
      <c r="B453" s="57"/>
      <c r="C453" s="57"/>
      <c r="D453" s="57"/>
      <c r="E453" s="58"/>
      <c r="F453" s="57"/>
      <c r="G453" s="59"/>
      <c r="H453" s="59"/>
      <c r="I453" s="59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>
      <c r="A454" s="57"/>
      <c r="B454" s="57"/>
      <c r="C454" s="57"/>
      <c r="D454" s="57"/>
      <c r="E454" s="58"/>
      <c r="F454" s="57"/>
      <c r="G454" s="59"/>
      <c r="H454" s="59"/>
      <c r="I454" s="59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>
      <c r="A455" s="57"/>
      <c r="B455" s="57"/>
      <c r="C455" s="57"/>
      <c r="D455" s="57"/>
      <c r="E455" s="58"/>
      <c r="F455" s="57"/>
      <c r="G455" s="59"/>
      <c r="H455" s="59"/>
      <c r="I455" s="59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>
      <c r="A456" s="57"/>
      <c r="B456" s="57"/>
      <c r="C456" s="57"/>
      <c r="D456" s="57"/>
      <c r="E456" s="58"/>
      <c r="F456" s="57"/>
      <c r="G456" s="59"/>
      <c r="H456" s="59"/>
      <c r="I456" s="59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>
      <c r="A457" s="57"/>
      <c r="B457" s="57"/>
      <c r="C457" s="57"/>
      <c r="D457" s="57"/>
      <c r="E457" s="58"/>
      <c r="F457" s="57"/>
      <c r="G457" s="59"/>
      <c r="H457" s="59"/>
      <c r="I457" s="59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>
      <c r="A458" s="57"/>
      <c r="B458" s="57"/>
      <c r="C458" s="57"/>
      <c r="D458" s="57"/>
      <c r="E458" s="58"/>
      <c r="F458" s="57"/>
      <c r="G458" s="59"/>
      <c r="H458" s="59"/>
      <c r="I458" s="59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>
      <c r="A459" s="57"/>
      <c r="B459" s="57"/>
      <c r="C459" s="57"/>
      <c r="D459" s="57"/>
      <c r="E459" s="58"/>
      <c r="F459" s="57"/>
      <c r="G459" s="59"/>
      <c r="H459" s="59"/>
      <c r="I459" s="59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>
      <c r="A460" s="57"/>
      <c r="B460" s="57"/>
      <c r="C460" s="57"/>
      <c r="D460" s="57"/>
      <c r="E460" s="58"/>
      <c r="F460" s="57"/>
      <c r="G460" s="59"/>
      <c r="H460" s="59"/>
      <c r="I460" s="59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>
      <c r="A461" s="57"/>
      <c r="B461" s="57"/>
      <c r="C461" s="57"/>
      <c r="D461" s="57"/>
      <c r="E461" s="58"/>
      <c r="F461" s="57"/>
      <c r="G461" s="59"/>
      <c r="H461" s="59"/>
      <c r="I461" s="59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>
      <c r="A462" s="57"/>
      <c r="B462" s="57"/>
      <c r="C462" s="57"/>
      <c r="D462" s="57"/>
      <c r="E462" s="58"/>
      <c r="F462" s="57"/>
      <c r="G462" s="59"/>
      <c r="H462" s="59"/>
      <c r="I462" s="59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>
      <c r="A463" s="57"/>
      <c r="B463" s="57"/>
      <c r="C463" s="57"/>
      <c r="D463" s="57"/>
      <c r="E463" s="58"/>
      <c r="F463" s="57"/>
      <c r="G463" s="59"/>
      <c r="H463" s="59"/>
      <c r="I463" s="59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>
      <c r="A464" s="57"/>
      <c r="B464" s="57"/>
      <c r="C464" s="57"/>
      <c r="D464" s="57"/>
      <c r="E464" s="58"/>
      <c r="F464" s="57"/>
      <c r="G464" s="59"/>
      <c r="H464" s="59"/>
      <c r="I464" s="59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>
      <c r="A465" s="57"/>
      <c r="B465" s="57"/>
      <c r="C465" s="57"/>
      <c r="D465" s="57"/>
      <c r="E465" s="58"/>
      <c r="F465" s="57"/>
      <c r="G465" s="59"/>
      <c r="H465" s="59"/>
      <c r="I465" s="59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>
      <c r="A466" s="57"/>
      <c r="B466" s="57"/>
      <c r="C466" s="57"/>
      <c r="D466" s="57"/>
      <c r="E466" s="58"/>
      <c r="F466" s="57"/>
      <c r="G466" s="59"/>
      <c r="H466" s="59"/>
      <c r="I466" s="59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>
      <c r="A467" s="57"/>
      <c r="B467" s="57"/>
      <c r="C467" s="57"/>
      <c r="D467" s="57"/>
      <c r="E467" s="58"/>
      <c r="F467" s="57"/>
      <c r="G467" s="59"/>
      <c r="H467" s="59"/>
      <c r="I467" s="59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>
      <c r="A468" s="57"/>
      <c r="B468" s="57"/>
      <c r="C468" s="57"/>
      <c r="D468" s="57"/>
      <c r="E468" s="58"/>
      <c r="F468" s="57"/>
      <c r="G468" s="59"/>
      <c r="H468" s="59"/>
      <c r="I468" s="59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>
      <c r="A469" s="57"/>
      <c r="B469" s="57"/>
      <c r="C469" s="57"/>
      <c r="D469" s="57"/>
      <c r="E469" s="58"/>
      <c r="F469" s="57"/>
      <c r="G469" s="59"/>
      <c r="H469" s="59"/>
      <c r="I469" s="59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>
      <c r="A470" s="57"/>
      <c r="B470" s="57"/>
      <c r="C470" s="57"/>
      <c r="D470" s="57"/>
      <c r="E470" s="58"/>
      <c r="F470" s="57"/>
      <c r="G470" s="59"/>
      <c r="H470" s="59"/>
      <c r="I470" s="59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>
      <c r="A471" s="57"/>
      <c r="B471" s="57"/>
      <c r="C471" s="57"/>
      <c r="D471" s="57"/>
      <c r="E471" s="58"/>
      <c r="F471" s="57"/>
      <c r="G471" s="59"/>
      <c r="H471" s="59"/>
      <c r="I471" s="59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>
      <c r="A472" s="57"/>
      <c r="B472" s="57"/>
      <c r="C472" s="57"/>
      <c r="D472" s="57"/>
      <c r="E472" s="58"/>
      <c r="F472" s="57"/>
      <c r="G472" s="59"/>
      <c r="H472" s="59"/>
      <c r="I472" s="59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>
      <c r="A473" s="57"/>
      <c r="B473" s="57"/>
      <c r="C473" s="57"/>
      <c r="D473" s="57"/>
      <c r="E473" s="58"/>
      <c r="F473" s="57"/>
      <c r="G473" s="59"/>
      <c r="H473" s="59"/>
      <c r="I473" s="59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>
      <c r="A474" s="57"/>
      <c r="B474" s="57"/>
      <c r="C474" s="57"/>
      <c r="D474" s="57"/>
      <c r="E474" s="58"/>
      <c r="F474" s="57"/>
      <c r="G474" s="59"/>
      <c r="H474" s="59"/>
      <c r="I474" s="59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>
      <c r="A475" s="57"/>
      <c r="B475" s="57"/>
      <c r="C475" s="57"/>
      <c r="D475" s="57"/>
      <c r="E475" s="58"/>
      <c r="F475" s="57"/>
      <c r="G475" s="59"/>
      <c r="H475" s="59"/>
      <c r="I475" s="59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>
      <c r="A476" s="57"/>
      <c r="B476" s="57"/>
      <c r="C476" s="57"/>
      <c r="D476" s="57"/>
      <c r="E476" s="58"/>
      <c r="F476" s="57"/>
      <c r="G476" s="59"/>
      <c r="H476" s="59"/>
      <c r="I476" s="59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>
      <c r="A477" s="57"/>
      <c r="B477" s="57"/>
      <c r="C477" s="57"/>
      <c r="D477" s="57"/>
      <c r="E477" s="58"/>
      <c r="F477" s="57"/>
      <c r="G477" s="59"/>
      <c r="H477" s="59"/>
      <c r="I477" s="59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>
      <c r="A478" s="57"/>
      <c r="B478" s="57"/>
      <c r="C478" s="57"/>
      <c r="D478" s="57"/>
      <c r="E478" s="58"/>
      <c r="F478" s="57"/>
      <c r="G478" s="59"/>
      <c r="H478" s="59"/>
      <c r="I478" s="59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>
      <c r="A479" s="57"/>
      <c r="B479" s="57"/>
      <c r="C479" s="57"/>
      <c r="D479" s="57"/>
      <c r="E479" s="58"/>
      <c r="F479" s="57"/>
      <c r="G479" s="59"/>
      <c r="H479" s="59"/>
      <c r="I479" s="59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>
      <c r="A480" s="57"/>
      <c r="B480" s="57"/>
      <c r="C480" s="57"/>
      <c r="D480" s="57"/>
      <c r="E480" s="58"/>
      <c r="F480" s="57"/>
      <c r="G480" s="59"/>
      <c r="H480" s="59"/>
      <c r="I480" s="59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>
      <c r="A481" s="57"/>
      <c r="B481" s="57"/>
      <c r="C481" s="57"/>
      <c r="D481" s="57"/>
      <c r="E481" s="58"/>
      <c r="F481" s="57"/>
      <c r="G481" s="59"/>
      <c r="H481" s="59"/>
      <c r="I481" s="59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>
      <c r="A482" s="57"/>
      <c r="B482" s="57"/>
      <c r="C482" s="57"/>
      <c r="D482" s="57"/>
      <c r="E482" s="58"/>
      <c r="F482" s="57"/>
      <c r="G482" s="59"/>
      <c r="H482" s="59"/>
      <c r="I482" s="59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>
      <c r="A483" s="57"/>
      <c r="B483" s="57"/>
      <c r="C483" s="57"/>
      <c r="D483" s="57"/>
      <c r="E483" s="58"/>
      <c r="F483" s="57"/>
      <c r="G483" s="59"/>
      <c r="H483" s="59"/>
      <c r="I483" s="59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>
      <c r="A484" s="57"/>
      <c r="B484" s="57"/>
      <c r="C484" s="57"/>
      <c r="D484" s="57"/>
      <c r="E484" s="58"/>
      <c r="F484" s="57"/>
      <c r="G484" s="59"/>
      <c r="H484" s="59"/>
      <c r="I484" s="59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>
      <c r="A485" s="57"/>
      <c r="B485" s="57"/>
      <c r="C485" s="57"/>
      <c r="D485" s="57"/>
      <c r="E485" s="58"/>
      <c r="F485" s="57"/>
      <c r="G485" s="59"/>
      <c r="H485" s="59"/>
      <c r="I485" s="59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>
      <c r="A486" s="57"/>
      <c r="B486" s="57"/>
      <c r="C486" s="57"/>
      <c r="D486" s="57"/>
      <c r="E486" s="58"/>
      <c r="F486" s="57"/>
      <c r="G486" s="59"/>
      <c r="H486" s="59"/>
      <c r="I486" s="59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>
      <c r="A487" s="57"/>
      <c r="B487" s="57"/>
      <c r="C487" s="57"/>
      <c r="D487" s="57"/>
      <c r="E487" s="58"/>
      <c r="F487" s="57"/>
      <c r="G487" s="59"/>
      <c r="H487" s="59"/>
      <c r="I487" s="59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>
      <c r="A488" s="57"/>
      <c r="B488" s="57"/>
      <c r="C488" s="57"/>
      <c r="D488" s="57"/>
      <c r="E488" s="58"/>
      <c r="F488" s="57"/>
      <c r="G488" s="59"/>
      <c r="H488" s="59"/>
      <c r="I488" s="59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>
      <c r="A489" s="57"/>
      <c r="B489" s="57"/>
      <c r="C489" s="57"/>
      <c r="D489" s="57"/>
      <c r="E489" s="58"/>
      <c r="F489" s="57"/>
      <c r="G489" s="59"/>
      <c r="H489" s="59"/>
      <c r="I489" s="59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>
      <c r="A490" s="57"/>
      <c r="B490" s="57"/>
      <c r="C490" s="57"/>
      <c r="D490" s="57"/>
      <c r="E490" s="58"/>
      <c r="F490" s="57"/>
      <c r="G490" s="59"/>
      <c r="H490" s="59"/>
      <c r="I490" s="59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>
      <c r="A491" s="57"/>
      <c r="B491" s="57"/>
      <c r="C491" s="57"/>
      <c r="D491" s="57"/>
      <c r="E491" s="58"/>
      <c r="F491" s="57"/>
      <c r="G491" s="59"/>
      <c r="H491" s="59"/>
      <c r="I491" s="59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>
      <c r="A492" s="57"/>
      <c r="B492" s="57"/>
      <c r="C492" s="57"/>
      <c r="D492" s="57"/>
      <c r="E492" s="58"/>
      <c r="F492" s="57"/>
      <c r="G492" s="59"/>
      <c r="H492" s="59"/>
      <c r="I492" s="59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>
      <c r="A493" s="57"/>
      <c r="B493" s="57"/>
      <c r="C493" s="57"/>
      <c r="D493" s="57"/>
      <c r="E493" s="58"/>
      <c r="F493" s="57"/>
      <c r="G493" s="59"/>
      <c r="H493" s="59"/>
      <c r="I493" s="59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>
      <c r="A494" s="57"/>
      <c r="B494" s="57"/>
      <c r="C494" s="57"/>
      <c r="D494" s="57"/>
      <c r="E494" s="58"/>
      <c r="F494" s="57"/>
      <c r="G494" s="59"/>
      <c r="H494" s="59"/>
      <c r="I494" s="59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>
      <c r="A495" s="57"/>
      <c r="B495" s="57"/>
      <c r="C495" s="57"/>
      <c r="D495" s="57"/>
      <c r="E495" s="58"/>
      <c r="F495" s="57"/>
      <c r="G495" s="59"/>
      <c r="H495" s="59"/>
      <c r="I495" s="59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>
      <c r="A496" s="57"/>
      <c r="B496" s="57"/>
      <c r="C496" s="57"/>
      <c r="D496" s="57"/>
      <c r="E496" s="58"/>
      <c r="F496" s="57"/>
      <c r="G496" s="59"/>
      <c r="H496" s="59"/>
      <c r="I496" s="59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>
      <c r="A497" s="57"/>
      <c r="B497" s="57"/>
      <c r="C497" s="57"/>
      <c r="D497" s="57"/>
      <c r="E497" s="58"/>
      <c r="F497" s="57"/>
      <c r="G497" s="59"/>
      <c r="H497" s="59"/>
      <c r="I497" s="59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>
      <c r="A498" s="57"/>
      <c r="B498" s="57"/>
      <c r="C498" s="57"/>
      <c r="D498" s="57"/>
      <c r="E498" s="58"/>
      <c r="F498" s="57"/>
      <c r="G498" s="59"/>
      <c r="H498" s="59"/>
      <c r="I498" s="59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>
      <c r="A499" s="57"/>
      <c r="B499" s="57"/>
      <c r="C499" s="57"/>
      <c r="D499" s="57"/>
      <c r="E499" s="58"/>
      <c r="F499" s="57"/>
      <c r="G499" s="59"/>
      <c r="H499" s="59"/>
      <c r="I499" s="59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>
      <c r="A500" s="57"/>
      <c r="B500" s="57"/>
      <c r="C500" s="57"/>
      <c r="D500" s="57"/>
      <c r="E500" s="58"/>
      <c r="F500" s="57"/>
      <c r="G500" s="59"/>
      <c r="H500" s="59"/>
      <c r="I500" s="59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>
      <c r="A501" s="57"/>
      <c r="B501" s="57"/>
      <c r="C501" s="57"/>
      <c r="D501" s="57"/>
      <c r="E501" s="58"/>
      <c r="F501" s="57"/>
      <c r="G501" s="59"/>
      <c r="H501" s="59"/>
      <c r="I501" s="59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>
      <c r="A502" s="57"/>
      <c r="B502" s="57"/>
      <c r="C502" s="57"/>
      <c r="D502" s="57"/>
      <c r="E502" s="58"/>
      <c r="F502" s="57"/>
      <c r="G502" s="59"/>
      <c r="H502" s="59"/>
      <c r="I502" s="59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>
      <c r="A503" s="57"/>
      <c r="B503" s="57"/>
      <c r="C503" s="57"/>
      <c r="D503" s="57"/>
      <c r="E503" s="58"/>
      <c r="F503" s="57"/>
      <c r="G503" s="59"/>
      <c r="H503" s="59"/>
      <c r="I503" s="59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>
      <c r="A504" s="57"/>
      <c r="B504" s="57"/>
      <c r="C504" s="57"/>
      <c r="D504" s="57"/>
      <c r="E504" s="58"/>
      <c r="F504" s="57"/>
      <c r="G504" s="59"/>
      <c r="H504" s="59"/>
      <c r="I504" s="59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>
      <c r="A505" s="57"/>
      <c r="B505" s="57"/>
      <c r="C505" s="57"/>
      <c r="D505" s="57"/>
      <c r="E505" s="58"/>
      <c r="F505" s="57"/>
      <c r="G505" s="59"/>
      <c r="H505" s="59"/>
      <c r="I505" s="59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>
      <c r="A506" s="57"/>
      <c r="B506" s="57"/>
      <c r="C506" s="57"/>
      <c r="D506" s="57"/>
      <c r="E506" s="58"/>
      <c r="F506" s="57"/>
      <c r="G506" s="59"/>
      <c r="H506" s="59"/>
      <c r="I506" s="59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>
      <c r="A507" s="57"/>
      <c r="B507" s="57"/>
      <c r="C507" s="57"/>
      <c r="D507" s="57"/>
      <c r="E507" s="58"/>
      <c r="F507" s="57"/>
      <c r="G507" s="59"/>
      <c r="H507" s="59"/>
      <c r="I507" s="59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>
      <c r="A508" s="57"/>
      <c r="B508" s="57"/>
      <c r="C508" s="57"/>
      <c r="D508" s="57"/>
      <c r="E508" s="58"/>
      <c r="F508" s="57"/>
      <c r="G508" s="59"/>
      <c r="H508" s="59"/>
      <c r="I508" s="59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>
      <c r="A509" s="57"/>
      <c r="B509" s="57"/>
      <c r="C509" s="57"/>
      <c r="D509" s="57"/>
      <c r="E509" s="58"/>
      <c r="F509" s="57"/>
      <c r="G509" s="59"/>
      <c r="H509" s="59"/>
      <c r="I509" s="59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>
      <c r="A510" s="57"/>
      <c r="B510" s="57"/>
      <c r="C510" s="57"/>
      <c r="D510" s="57"/>
      <c r="E510" s="58"/>
      <c r="F510" s="57"/>
      <c r="G510" s="59"/>
      <c r="H510" s="59"/>
      <c r="I510" s="59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>
      <c r="A511" s="57"/>
      <c r="B511" s="57"/>
      <c r="C511" s="57"/>
      <c r="D511" s="57"/>
      <c r="E511" s="58"/>
      <c r="F511" s="57"/>
      <c r="G511" s="59"/>
      <c r="H511" s="59"/>
      <c r="I511" s="59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>
      <c r="A512" s="57"/>
      <c r="B512" s="57"/>
      <c r="C512" s="57"/>
      <c r="D512" s="57"/>
      <c r="E512" s="58"/>
      <c r="F512" s="57"/>
      <c r="G512" s="59"/>
      <c r="H512" s="59"/>
      <c r="I512" s="59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>
      <c r="A513" s="57"/>
      <c r="B513" s="57"/>
      <c r="C513" s="57"/>
      <c r="D513" s="57"/>
      <c r="E513" s="58"/>
      <c r="F513" s="57"/>
      <c r="G513" s="59"/>
      <c r="H513" s="59"/>
      <c r="I513" s="59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>
      <c r="A514" s="57"/>
      <c r="B514" s="57"/>
      <c r="C514" s="57"/>
      <c r="D514" s="57"/>
      <c r="E514" s="58"/>
      <c r="F514" s="57"/>
      <c r="G514" s="59"/>
      <c r="H514" s="59"/>
      <c r="I514" s="59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>
      <c r="A515" s="57"/>
      <c r="B515" s="57"/>
      <c r="C515" s="57"/>
      <c r="D515" s="57"/>
      <c r="E515" s="58"/>
      <c r="F515" s="57"/>
      <c r="G515" s="59"/>
      <c r="H515" s="59"/>
      <c r="I515" s="59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>
      <c r="A516" s="57"/>
      <c r="B516" s="57"/>
      <c r="C516" s="57"/>
      <c r="D516" s="57"/>
      <c r="E516" s="58"/>
      <c r="F516" s="57"/>
      <c r="G516" s="59"/>
      <c r="H516" s="59"/>
      <c r="I516" s="59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>
      <c r="A517" s="57"/>
      <c r="B517" s="57"/>
      <c r="C517" s="57"/>
      <c r="D517" s="57"/>
      <c r="E517" s="58"/>
      <c r="F517" s="57"/>
      <c r="G517" s="59"/>
      <c r="H517" s="59"/>
      <c r="I517" s="59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>
      <c r="A518" s="57"/>
      <c r="B518" s="57"/>
      <c r="C518" s="57"/>
      <c r="D518" s="57"/>
      <c r="E518" s="58"/>
      <c r="F518" s="57"/>
      <c r="G518" s="59"/>
      <c r="H518" s="59"/>
      <c r="I518" s="59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>
      <c r="A519" s="57"/>
      <c r="B519" s="57"/>
      <c r="C519" s="57"/>
      <c r="D519" s="57"/>
      <c r="E519" s="58"/>
      <c r="F519" s="57"/>
      <c r="G519" s="59"/>
      <c r="H519" s="59"/>
      <c r="I519" s="59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>
      <c r="A520" s="57"/>
      <c r="B520" s="57"/>
      <c r="C520" s="57"/>
      <c r="D520" s="57"/>
      <c r="E520" s="58"/>
      <c r="F520" s="57"/>
      <c r="G520" s="59"/>
      <c r="H520" s="59"/>
      <c r="I520" s="59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>
      <c r="A521" s="57"/>
      <c r="B521" s="57"/>
      <c r="C521" s="57"/>
      <c r="D521" s="57"/>
      <c r="E521" s="58"/>
      <c r="F521" s="57"/>
      <c r="G521" s="59"/>
      <c r="H521" s="59"/>
      <c r="I521" s="59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>
      <c r="A522" s="57"/>
      <c r="B522" s="57"/>
      <c r="C522" s="57"/>
      <c r="D522" s="57"/>
      <c r="E522" s="58"/>
      <c r="F522" s="57"/>
      <c r="G522" s="59"/>
      <c r="H522" s="59"/>
      <c r="I522" s="59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>
      <c r="A523" s="57"/>
      <c r="B523" s="57"/>
      <c r="C523" s="57"/>
      <c r="D523" s="57"/>
      <c r="E523" s="58"/>
      <c r="F523" s="57"/>
      <c r="G523" s="59"/>
      <c r="H523" s="59"/>
      <c r="I523" s="59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>
      <c r="A524" s="57"/>
      <c r="B524" s="57"/>
      <c r="C524" s="57"/>
      <c r="D524" s="57"/>
      <c r="E524" s="58"/>
      <c r="F524" s="57"/>
      <c r="G524" s="59"/>
      <c r="H524" s="59"/>
      <c r="I524" s="59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>
      <c r="A525" s="57"/>
      <c r="B525" s="57"/>
      <c r="C525" s="57"/>
      <c r="D525" s="57"/>
      <c r="E525" s="58"/>
      <c r="F525" s="57"/>
      <c r="G525" s="59"/>
      <c r="H525" s="59"/>
      <c r="I525" s="59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>
      <c r="A526" s="57"/>
      <c r="B526" s="57"/>
      <c r="C526" s="57"/>
      <c r="D526" s="57"/>
      <c r="E526" s="58"/>
      <c r="F526" s="57"/>
      <c r="G526" s="59"/>
      <c r="H526" s="59"/>
      <c r="I526" s="59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>
      <c r="A527" s="57"/>
      <c r="B527" s="57"/>
      <c r="C527" s="57"/>
      <c r="D527" s="57"/>
      <c r="E527" s="58"/>
      <c r="F527" s="57"/>
      <c r="G527" s="59"/>
      <c r="H527" s="59"/>
      <c r="I527" s="59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>
      <c r="A528" s="57"/>
      <c r="B528" s="57"/>
      <c r="C528" s="57"/>
      <c r="D528" s="57"/>
      <c r="E528" s="58"/>
      <c r="F528" s="57"/>
      <c r="G528" s="59"/>
      <c r="H528" s="59"/>
      <c r="I528" s="59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>
      <c r="A529" s="57"/>
      <c r="B529" s="57"/>
      <c r="C529" s="57"/>
      <c r="D529" s="57"/>
      <c r="E529" s="58"/>
      <c r="F529" s="57"/>
      <c r="G529" s="59"/>
      <c r="H529" s="59"/>
      <c r="I529" s="59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>
      <c r="A530" s="57"/>
      <c r="B530" s="57"/>
      <c r="C530" s="57"/>
      <c r="D530" s="57"/>
      <c r="E530" s="58"/>
      <c r="F530" s="57"/>
      <c r="G530" s="59"/>
      <c r="H530" s="59"/>
      <c r="I530" s="59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>
      <c r="A531" s="57"/>
      <c r="B531" s="57"/>
      <c r="C531" s="57"/>
      <c r="D531" s="57"/>
      <c r="E531" s="58"/>
      <c r="F531" s="57"/>
      <c r="G531" s="59"/>
      <c r="H531" s="59"/>
      <c r="I531" s="59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>
      <c r="A532" s="57"/>
      <c r="B532" s="57"/>
      <c r="C532" s="57"/>
      <c r="D532" s="57"/>
      <c r="E532" s="58"/>
      <c r="F532" s="57"/>
      <c r="G532" s="59"/>
      <c r="H532" s="59"/>
      <c r="I532" s="59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>
      <c r="A533" s="57"/>
      <c r="B533" s="57"/>
      <c r="C533" s="57"/>
      <c r="D533" s="57"/>
      <c r="E533" s="58"/>
      <c r="F533" s="57"/>
      <c r="G533" s="59"/>
      <c r="H533" s="59"/>
      <c r="I533" s="59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>
      <c r="A534" s="57"/>
      <c r="B534" s="57"/>
      <c r="C534" s="57"/>
      <c r="D534" s="57"/>
      <c r="E534" s="58"/>
      <c r="F534" s="57"/>
      <c r="G534" s="59"/>
      <c r="H534" s="59"/>
      <c r="I534" s="59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>
      <c r="A535" s="57"/>
      <c r="B535" s="57"/>
      <c r="C535" s="57"/>
      <c r="D535" s="57"/>
      <c r="E535" s="58"/>
      <c r="F535" s="57"/>
      <c r="G535" s="59"/>
      <c r="H535" s="59"/>
      <c r="I535" s="59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>
      <c r="A536" s="57"/>
      <c r="B536" s="57"/>
      <c r="C536" s="57"/>
      <c r="D536" s="57"/>
      <c r="E536" s="58"/>
      <c r="F536" s="57"/>
      <c r="G536" s="59"/>
      <c r="H536" s="59"/>
      <c r="I536" s="59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>
      <c r="A537" s="57"/>
      <c r="B537" s="57"/>
      <c r="C537" s="57"/>
      <c r="D537" s="57"/>
      <c r="E537" s="58"/>
      <c r="F537" s="57"/>
      <c r="G537" s="59"/>
      <c r="H537" s="59"/>
      <c r="I537" s="59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>
      <c r="A538" s="57"/>
      <c r="B538" s="57"/>
      <c r="C538" s="57"/>
      <c r="D538" s="57"/>
      <c r="E538" s="58"/>
      <c r="F538" s="57"/>
      <c r="G538" s="59"/>
      <c r="H538" s="59"/>
      <c r="I538" s="59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>
      <c r="A539" s="57"/>
      <c r="B539" s="57"/>
      <c r="C539" s="57"/>
      <c r="D539" s="57"/>
      <c r="E539" s="58"/>
      <c r="F539" s="57"/>
      <c r="G539" s="59"/>
      <c r="H539" s="59"/>
      <c r="I539" s="59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>
      <c r="A540" s="57"/>
      <c r="B540" s="57"/>
      <c r="C540" s="57"/>
      <c r="D540" s="57"/>
      <c r="E540" s="58"/>
      <c r="F540" s="57"/>
      <c r="G540" s="59"/>
      <c r="H540" s="59"/>
      <c r="I540" s="59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>
      <c r="A541" s="57"/>
      <c r="B541" s="57"/>
      <c r="C541" s="57"/>
      <c r="D541" s="57"/>
      <c r="E541" s="58"/>
      <c r="F541" s="57"/>
      <c r="G541" s="59"/>
      <c r="H541" s="59"/>
      <c r="I541" s="59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>
      <c r="A542" s="57"/>
      <c r="B542" s="57"/>
      <c r="C542" s="57"/>
      <c r="D542" s="57"/>
      <c r="E542" s="58"/>
      <c r="F542" s="57"/>
      <c r="G542" s="59"/>
      <c r="H542" s="59"/>
      <c r="I542" s="59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>
      <c r="A543" s="57"/>
      <c r="B543" s="57"/>
      <c r="C543" s="57"/>
      <c r="D543" s="57"/>
      <c r="E543" s="58"/>
      <c r="F543" s="57"/>
      <c r="G543" s="59"/>
      <c r="H543" s="59"/>
      <c r="I543" s="59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>
      <c r="A544" s="57"/>
      <c r="B544" s="57"/>
      <c r="C544" s="57"/>
      <c r="D544" s="57"/>
      <c r="E544" s="58"/>
      <c r="F544" s="57"/>
      <c r="G544" s="59"/>
      <c r="H544" s="59"/>
      <c r="I544" s="59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>
      <c r="A545" s="57"/>
      <c r="B545" s="57"/>
      <c r="C545" s="57"/>
      <c r="D545" s="57"/>
      <c r="E545" s="58"/>
      <c r="F545" s="57"/>
      <c r="G545" s="59"/>
      <c r="H545" s="59"/>
      <c r="I545" s="59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>
      <c r="A546" s="57"/>
      <c r="B546" s="57"/>
      <c r="C546" s="57"/>
      <c r="D546" s="57"/>
      <c r="E546" s="58"/>
      <c r="F546" s="57"/>
      <c r="G546" s="59"/>
      <c r="H546" s="59"/>
      <c r="I546" s="59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>
      <c r="A547" s="57"/>
      <c r="B547" s="57"/>
      <c r="C547" s="57"/>
      <c r="D547" s="57"/>
      <c r="E547" s="58"/>
      <c r="F547" s="57"/>
      <c r="G547" s="59"/>
      <c r="H547" s="59"/>
      <c r="I547" s="59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>
      <c r="A548" s="57"/>
      <c r="B548" s="57"/>
      <c r="C548" s="57"/>
      <c r="D548" s="57"/>
      <c r="E548" s="58"/>
      <c r="F548" s="57"/>
      <c r="G548" s="59"/>
      <c r="H548" s="59"/>
      <c r="I548" s="59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>
      <c r="A549" s="57"/>
      <c r="B549" s="57"/>
      <c r="C549" s="57"/>
      <c r="D549" s="57"/>
      <c r="E549" s="58"/>
      <c r="F549" s="57"/>
      <c r="G549" s="59"/>
      <c r="H549" s="59"/>
      <c r="I549" s="59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>
      <c r="A550" s="57"/>
      <c r="B550" s="57"/>
      <c r="C550" s="57"/>
      <c r="D550" s="57"/>
      <c r="E550" s="58"/>
      <c r="F550" s="57"/>
      <c r="G550" s="59"/>
      <c r="H550" s="59"/>
      <c r="I550" s="59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>
      <c r="A551" s="57"/>
      <c r="B551" s="57"/>
      <c r="C551" s="57"/>
      <c r="D551" s="57"/>
      <c r="E551" s="58"/>
      <c r="F551" s="57"/>
      <c r="G551" s="59"/>
      <c r="H551" s="59"/>
      <c r="I551" s="59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>
      <c r="A552" s="57"/>
      <c r="B552" s="57"/>
      <c r="C552" s="57"/>
      <c r="D552" s="57"/>
      <c r="E552" s="58"/>
      <c r="F552" s="57"/>
      <c r="G552" s="59"/>
      <c r="H552" s="59"/>
      <c r="I552" s="59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>
      <c r="A553" s="57"/>
      <c r="B553" s="57"/>
      <c r="C553" s="57"/>
      <c r="D553" s="57"/>
      <c r="E553" s="58"/>
      <c r="F553" s="57"/>
      <c r="G553" s="59"/>
      <c r="H553" s="59"/>
      <c r="I553" s="59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>
      <c r="A554" s="57"/>
      <c r="B554" s="57"/>
      <c r="C554" s="57"/>
      <c r="D554" s="57"/>
      <c r="E554" s="58"/>
      <c r="F554" s="57"/>
      <c r="G554" s="59"/>
      <c r="H554" s="59"/>
      <c r="I554" s="59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>
      <c r="A555" s="57"/>
      <c r="B555" s="57"/>
      <c r="C555" s="57"/>
      <c r="D555" s="57"/>
      <c r="E555" s="58"/>
      <c r="F555" s="57"/>
      <c r="G555" s="59"/>
      <c r="H555" s="59"/>
      <c r="I555" s="59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>
      <c r="A556" s="57"/>
      <c r="B556" s="57"/>
      <c r="C556" s="57"/>
      <c r="D556" s="57"/>
      <c r="E556" s="58"/>
      <c r="F556" s="57"/>
      <c r="G556" s="59"/>
      <c r="H556" s="59"/>
      <c r="I556" s="59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>
      <c r="A557" s="57"/>
      <c r="B557" s="57"/>
      <c r="C557" s="57"/>
      <c r="D557" s="57"/>
      <c r="E557" s="58"/>
      <c r="F557" s="57"/>
      <c r="G557" s="59"/>
      <c r="H557" s="59"/>
      <c r="I557" s="59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>
      <c r="A558" s="57"/>
      <c r="B558" s="57"/>
      <c r="C558" s="57"/>
      <c r="D558" s="57"/>
      <c r="E558" s="58"/>
      <c r="F558" s="57"/>
      <c r="G558" s="59"/>
      <c r="H558" s="59"/>
      <c r="I558" s="59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>
      <c r="A559" s="57"/>
      <c r="B559" s="57"/>
      <c r="C559" s="57"/>
      <c r="D559" s="57"/>
      <c r="E559" s="58"/>
      <c r="F559" s="57"/>
      <c r="G559" s="59"/>
      <c r="H559" s="59"/>
      <c r="I559" s="59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>
      <c r="A560" s="57"/>
      <c r="B560" s="57"/>
      <c r="C560" s="57"/>
      <c r="D560" s="57"/>
      <c r="E560" s="58"/>
      <c r="F560" s="57"/>
      <c r="G560" s="59"/>
      <c r="H560" s="59"/>
      <c r="I560" s="59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>
      <c r="A561" s="57"/>
      <c r="B561" s="57"/>
      <c r="C561" s="57"/>
      <c r="D561" s="57"/>
      <c r="E561" s="58"/>
      <c r="F561" s="57"/>
      <c r="G561" s="59"/>
      <c r="H561" s="59"/>
      <c r="I561" s="59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>
      <c r="A562" s="57"/>
      <c r="B562" s="57"/>
      <c r="C562" s="57"/>
      <c r="D562" s="57"/>
      <c r="E562" s="58"/>
      <c r="F562" s="57"/>
      <c r="G562" s="59"/>
      <c r="H562" s="59"/>
      <c r="I562" s="59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>
      <c r="A563" s="57"/>
      <c r="B563" s="57"/>
      <c r="C563" s="57"/>
      <c r="D563" s="57"/>
      <c r="E563" s="58"/>
      <c r="F563" s="57"/>
      <c r="G563" s="59"/>
      <c r="H563" s="59"/>
      <c r="I563" s="59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>
      <c r="A564" s="57"/>
      <c r="B564" s="57"/>
      <c r="C564" s="57"/>
      <c r="D564" s="57"/>
      <c r="E564" s="58"/>
      <c r="F564" s="57"/>
      <c r="G564" s="59"/>
      <c r="H564" s="59"/>
      <c r="I564" s="59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>
      <c r="A565" s="57"/>
      <c r="B565" s="57"/>
      <c r="C565" s="57"/>
      <c r="D565" s="57"/>
      <c r="E565" s="58"/>
      <c r="F565" s="57"/>
      <c r="G565" s="59"/>
      <c r="H565" s="59"/>
      <c r="I565" s="59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>
      <c r="A566" s="57"/>
      <c r="B566" s="57"/>
      <c r="C566" s="57"/>
      <c r="D566" s="57"/>
      <c r="E566" s="58"/>
      <c r="F566" s="57"/>
      <c r="G566" s="59"/>
      <c r="H566" s="59"/>
      <c r="I566" s="59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>
      <c r="A567" s="57"/>
      <c r="B567" s="57"/>
      <c r="C567" s="57"/>
      <c r="D567" s="57"/>
      <c r="E567" s="58"/>
      <c r="F567" s="57"/>
      <c r="G567" s="59"/>
      <c r="H567" s="59"/>
      <c r="I567" s="59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>
      <c r="A568" s="57"/>
      <c r="B568" s="57"/>
      <c r="C568" s="57"/>
      <c r="D568" s="57"/>
      <c r="E568" s="58"/>
      <c r="F568" s="57"/>
      <c r="G568" s="59"/>
      <c r="H568" s="59"/>
      <c r="I568" s="59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>
      <c r="A569" s="57"/>
      <c r="B569" s="57"/>
      <c r="C569" s="57"/>
      <c r="D569" s="57"/>
      <c r="E569" s="58"/>
      <c r="F569" s="57"/>
      <c r="G569" s="59"/>
      <c r="H569" s="59"/>
      <c r="I569" s="59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>
      <c r="A570" s="57"/>
      <c r="B570" s="57"/>
      <c r="C570" s="57"/>
      <c r="D570" s="57"/>
      <c r="E570" s="58"/>
      <c r="F570" s="57"/>
      <c r="G570" s="59"/>
      <c r="H570" s="59"/>
      <c r="I570" s="59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>
      <c r="A571" s="57"/>
      <c r="B571" s="57"/>
      <c r="C571" s="57"/>
      <c r="D571" s="57"/>
      <c r="E571" s="58"/>
      <c r="F571" s="57"/>
      <c r="G571" s="59"/>
      <c r="H571" s="59"/>
      <c r="I571" s="59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>
      <c r="A572" s="57"/>
      <c r="B572" s="57"/>
      <c r="C572" s="57"/>
      <c r="D572" s="57"/>
      <c r="E572" s="58"/>
      <c r="F572" s="57"/>
      <c r="G572" s="59"/>
      <c r="H572" s="59"/>
      <c r="I572" s="59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>
      <c r="A573" s="57"/>
      <c r="B573" s="57"/>
      <c r="C573" s="57"/>
      <c r="D573" s="57"/>
      <c r="E573" s="58"/>
      <c r="F573" s="57"/>
      <c r="G573" s="59"/>
      <c r="H573" s="59"/>
      <c r="I573" s="59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>
      <c r="A574" s="57"/>
      <c r="B574" s="57"/>
      <c r="C574" s="57"/>
      <c r="D574" s="57"/>
      <c r="E574" s="58"/>
      <c r="F574" s="57"/>
      <c r="G574" s="59"/>
      <c r="H574" s="59"/>
      <c r="I574" s="59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>
      <c r="A575" s="57"/>
      <c r="B575" s="57"/>
      <c r="C575" s="57"/>
      <c r="D575" s="57"/>
      <c r="E575" s="58"/>
      <c r="F575" s="57"/>
      <c r="G575" s="59"/>
      <c r="H575" s="59"/>
      <c r="I575" s="59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>
      <c r="A576" s="57"/>
      <c r="B576" s="57"/>
      <c r="C576" s="57"/>
      <c r="D576" s="57"/>
      <c r="E576" s="58"/>
      <c r="F576" s="57"/>
      <c r="G576" s="59"/>
      <c r="H576" s="59"/>
      <c r="I576" s="59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>
      <c r="A577" s="57"/>
      <c r="B577" s="57"/>
      <c r="C577" s="57"/>
      <c r="D577" s="57"/>
      <c r="E577" s="58"/>
      <c r="F577" s="57"/>
      <c r="G577" s="59"/>
      <c r="H577" s="59"/>
      <c r="I577" s="59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>
      <c r="A578" s="57"/>
      <c r="B578" s="57"/>
      <c r="C578" s="57"/>
      <c r="D578" s="57"/>
      <c r="E578" s="58"/>
      <c r="F578" s="57"/>
      <c r="G578" s="59"/>
      <c r="H578" s="59"/>
      <c r="I578" s="59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>
      <c r="A579" s="57"/>
      <c r="B579" s="57"/>
      <c r="C579" s="57"/>
      <c r="D579" s="57"/>
      <c r="E579" s="58"/>
      <c r="F579" s="57"/>
      <c r="G579" s="59"/>
      <c r="H579" s="59"/>
      <c r="I579" s="59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>
      <c r="A580" s="57"/>
      <c r="B580" s="57"/>
      <c r="C580" s="57"/>
      <c r="D580" s="57"/>
      <c r="E580" s="58"/>
      <c r="F580" s="57"/>
      <c r="G580" s="59"/>
      <c r="H580" s="59"/>
      <c r="I580" s="59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>
      <c r="A581" s="57"/>
      <c r="B581" s="57"/>
      <c r="C581" s="57"/>
      <c r="D581" s="57"/>
      <c r="E581" s="58"/>
      <c r="F581" s="57"/>
      <c r="G581" s="59"/>
      <c r="H581" s="59"/>
      <c r="I581" s="59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>
      <c r="A582" s="57"/>
      <c r="B582" s="57"/>
      <c r="C582" s="57"/>
      <c r="D582" s="57"/>
      <c r="E582" s="58"/>
      <c r="F582" s="57"/>
      <c r="G582" s="59"/>
      <c r="H582" s="59"/>
      <c r="I582" s="59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>
      <c r="A583" s="57"/>
      <c r="B583" s="57"/>
      <c r="C583" s="57"/>
      <c r="D583" s="57"/>
      <c r="E583" s="58"/>
      <c r="F583" s="57"/>
      <c r="G583" s="59"/>
      <c r="H583" s="59"/>
      <c r="I583" s="59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>
      <c r="A584" s="57"/>
      <c r="B584" s="57"/>
      <c r="C584" s="57"/>
      <c r="D584" s="57"/>
      <c r="E584" s="58"/>
      <c r="F584" s="57"/>
      <c r="G584" s="59"/>
      <c r="H584" s="59"/>
      <c r="I584" s="59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>
      <c r="A585" s="57"/>
      <c r="B585" s="57"/>
      <c r="C585" s="57"/>
      <c r="D585" s="57"/>
      <c r="E585" s="58"/>
      <c r="F585" s="57"/>
      <c r="G585" s="59"/>
      <c r="H585" s="59"/>
      <c r="I585" s="59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>
      <c r="A586" s="57"/>
      <c r="B586" s="57"/>
      <c r="C586" s="57"/>
      <c r="D586" s="57"/>
      <c r="E586" s="58"/>
      <c r="F586" s="57"/>
      <c r="G586" s="59"/>
      <c r="H586" s="59"/>
      <c r="I586" s="59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>
      <c r="A587" s="57"/>
      <c r="B587" s="57"/>
      <c r="C587" s="57"/>
      <c r="D587" s="57"/>
      <c r="E587" s="58"/>
      <c r="F587" s="57"/>
      <c r="G587" s="59"/>
      <c r="H587" s="59"/>
      <c r="I587" s="59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>
      <c r="A588" s="57"/>
      <c r="B588" s="57"/>
      <c r="C588" s="57"/>
      <c r="D588" s="57"/>
      <c r="E588" s="58"/>
      <c r="F588" s="57"/>
      <c r="G588" s="59"/>
      <c r="H588" s="59"/>
      <c r="I588" s="59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>
      <c r="A589" s="57"/>
      <c r="B589" s="57"/>
      <c r="C589" s="57"/>
      <c r="D589" s="57"/>
      <c r="E589" s="58"/>
      <c r="F589" s="57"/>
      <c r="G589" s="59"/>
      <c r="H589" s="59"/>
      <c r="I589" s="59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>
      <c r="A590" s="57"/>
      <c r="B590" s="57"/>
      <c r="C590" s="57"/>
      <c r="D590" s="57"/>
      <c r="E590" s="58"/>
      <c r="F590" s="57"/>
      <c r="G590" s="59"/>
      <c r="H590" s="59"/>
      <c r="I590" s="59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>
      <c r="A591" s="57"/>
      <c r="B591" s="57"/>
      <c r="C591" s="57"/>
      <c r="D591" s="57"/>
      <c r="E591" s="58"/>
      <c r="F591" s="57"/>
      <c r="G591" s="59"/>
      <c r="H591" s="59"/>
      <c r="I591" s="59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>
      <c r="A592" s="57"/>
      <c r="B592" s="57"/>
      <c r="C592" s="57"/>
      <c r="D592" s="57"/>
      <c r="E592" s="58"/>
      <c r="F592" s="57"/>
      <c r="G592" s="59"/>
      <c r="H592" s="59"/>
      <c r="I592" s="59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>
      <c r="A593" s="57"/>
      <c r="B593" s="57"/>
      <c r="C593" s="57"/>
      <c r="D593" s="57"/>
      <c r="E593" s="58"/>
      <c r="F593" s="57"/>
      <c r="G593" s="59"/>
      <c r="H593" s="59"/>
      <c r="I593" s="59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>
      <c r="A594" s="57"/>
      <c r="B594" s="57"/>
      <c r="C594" s="57"/>
      <c r="D594" s="57"/>
      <c r="E594" s="58"/>
      <c r="F594" s="57"/>
      <c r="G594" s="59"/>
      <c r="H594" s="59"/>
      <c r="I594" s="59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>
      <c r="A595" s="57"/>
      <c r="B595" s="57"/>
      <c r="C595" s="57"/>
      <c r="D595" s="57"/>
      <c r="E595" s="58"/>
      <c r="F595" s="57"/>
      <c r="G595" s="59"/>
      <c r="H595" s="59"/>
      <c r="I595" s="59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>
      <c r="A596" s="57"/>
      <c r="B596" s="57"/>
      <c r="C596" s="57"/>
      <c r="D596" s="57"/>
      <c r="E596" s="58"/>
      <c r="F596" s="57"/>
      <c r="G596" s="59"/>
      <c r="H596" s="59"/>
      <c r="I596" s="59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>
      <c r="A597" s="57"/>
      <c r="B597" s="57"/>
      <c r="C597" s="57"/>
      <c r="D597" s="57"/>
      <c r="E597" s="58"/>
      <c r="F597" s="57"/>
      <c r="G597" s="59"/>
      <c r="H597" s="59"/>
      <c r="I597" s="59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>
      <c r="A598" s="57"/>
      <c r="B598" s="57"/>
      <c r="C598" s="57"/>
      <c r="D598" s="57"/>
      <c r="E598" s="58"/>
      <c r="F598" s="57"/>
      <c r="G598" s="59"/>
      <c r="H598" s="59"/>
      <c r="I598" s="59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>
      <c r="A599" s="57"/>
      <c r="B599" s="57"/>
      <c r="C599" s="57"/>
      <c r="D599" s="57"/>
      <c r="E599" s="58"/>
      <c r="F599" s="57"/>
      <c r="G599" s="59"/>
      <c r="H599" s="59"/>
      <c r="I599" s="59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>
      <c r="A600" s="57"/>
      <c r="B600" s="57"/>
      <c r="C600" s="57"/>
      <c r="D600" s="57"/>
      <c r="E600" s="58"/>
      <c r="F600" s="57"/>
      <c r="G600" s="59"/>
      <c r="H600" s="59"/>
      <c r="I600" s="59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>
      <c r="A601" s="57"/>
      <c r="B601" s="57"/>
      <c r="C601" s="57"/>
      <c r="D601" s="57"/>
      <c r="E601" s="58"/>
      <c r="F601" s="57"/>
      <c r="G601" s="59"/>
      <c r="H601" s="59"/>
      <c r="I601" s="59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>
      <c r="A602" s="57"/>
      <c r="B602" s="57"/>
      <c r="C602" s="57"/>
      <c r="D602" s="57"/>
      <c r="E602" s="58"/>
      <c r="F602" s="57"/>
      <c r="G602" s="59"/>
      <c r="H602" s="59"/>
      <c r="I602" s="59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>
      <c r="A603" s="57"/>
      <c r="B603" s="57"/>
      <c r="C603" s="57"/>
      <c r="D603" s="57"/>
      <c r="E603" s="58"/>
      <c r="F603" s="57"/>
      <c r="G603" s="59"/>
      <c r="H603" s="59"/>
      <c r="I603" s="59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>
      <c r="A604" s="57"/>
      <c r="B604" s="57"/>
      <c r="C604" s="57"/>
      <c r="D604" s="57"/>
      <c r="E604" s="58"/>
      <c r="F604" s="57"/>
      <c r="G604" s="59"/>
      <c r="H604" s="59"/>
      <c r="I604" s="59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>
      <c r="A605" s="57"/>
      <c r="B605" s="57"/>
      <c r="C605" s="57"/>
      <c r="D605" s="57"/>
      <c r="E605" s="58"/>
      <c r="F605" s="57"/>
      <c r="G605" s="59"/>
      <c r="H605" s="59"/>
      <c r="I605" s="59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>
      <c r="A606" s="57"/>
      <c r="B606" s="57"/>
      <c r="C606" s="57"/>
      <c r="D606" s="57"/>
      <c r="E606" s="58"/>
      <c r="F606" s="57"/>
      <c r="G606" s="59"/>
      <c r="H606" s="59"/>
      <c r="I606" s="59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>
      <c r="A607" s="57"/>
      <c r="B607" s="57"/>
      <c r="C607" s="57"/>
      <c r="D607" s="57"/>
      <c r="E607" s="58"/>
      <c r="F607" s="57"/>
      <c r="G607" s="59"/>
      <c r="H607" s="59"/>
      <c r="I607" s="59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>
      <c r="A608" s="57"/>
      <c r="B608" s="57"/>
      <c r="C608" s="57"/>
      <c r="D608" s="57"/>
      <c r="E608" s="58"/>
      <c r="F608" s="57"/>
      <c r="G608" s="59"/>
      <c r="H608" s="59"/>
      <c r="I608" s="59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>
      <c r="A609" s="57"/>
      <c r="B609" s="57"/>
      <c r="C609" s="57"/>
      <c r="D609" s="57"/>
      <c r="E609" s="58"/>
      <c r="F609" s="57"/>
      <c r="G609" s="59"/>
      <c r="H609" s="59"/>
      <c r="I609" s="59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>
      <c r="A610" s="57"/>
      <c r="B610" s="57"/>
      <c r="C610" s="57"/>
      <c r="D610" s="57"/>
      <c r="E610" s="58"/>
      <c r="F610" s="57"/>
      <c r="G610" s="59"/>
      <c r="H610" s="59"/>
      <c r="I610" s="59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>
      <c r="A611" s="57"/>
      <c r="B611" s="57"/>
      <c r="C611" s="57"/>
      <c r="D611" s="57"/>
      <c r="E611" s="58"/>
      <c r="F611" s="57"/>
      <c r="G611" s="59"/>
      <c r="H611" s="59"/>
      <c r="I611" s="59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>
      <c r="A612" s="57"/>
      <c r="B612" s="57"/>
      <c r="C612" s="57"/>
      <c r="D612" s="57"/>
      <c r="E612" s="58"/>
      <c r="F612" s="57"/>
      <c r="G612" s="59"/>
      <c r="H612" s="59"/>
      <c r="I612" s="59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>
      <c r="A613" s="57"/>
      <c r="B613" s="57"/>
      <c r="C613" s="57"/>
      <c r="D613" s="57"/>
      <c r="E613" s="58"/>
      <c r="F613" s="57"/>
      <c r="G613" s="59"/>
      <c r="H613" s="59"/>
      <c r="I613" s="59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>
      <c r="A614" s="57"/>
      <c r="B614" s="57"/>
      <c r="C614" s="57"/>
      <c r="D614" s="57"/>
      <c r="E614" s="58"/>
      <c r="F614" s="57"/>
      <c r="G614" s="59"/>
      <c r="H614" s="59"/>
      <c r="I614" s="59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>
      <c r="A615" s="57"/>
      <c r="B615" s="57"/>
      <c r="C615" s="57"/>
      <c r="D615" s="57"/>
      <c r="E615" s="58"/>
      <c r="F615" s="57"/>
      <c r="G615" s="59"/>
      <c r="H615" s="59"/>
      <c r="I615" s="59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>
      <c r="A616" s="57"/>
      <c r="B616" s="57"/>
      <c r="C616" s="57"/>
      <c r="D616" s="57"/>
      <c r="E616" s="58"/>
      <c r="F616" s="57"/>
      <c r="G616" s="59"/>
      <c r="H616" s="59"/>
      <c r="I616" s="59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>
      <c r="A617" s="57"/>
      <c r="B617" s="57"/>
      <c r="C617" s="57"/>
      <c r="D617" s="57"/>
      <c r="E617" s="58"/>
      <c r="F617" s="57"/>
      <c r="G617" s="59"/>
      <c r="H617" s="59"/>
      <c r="I617" s="59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>
      <c r="A618" s="57"/>
      <c r="B618" s="57"/>
      <c r="C618" s="57"/>
      <c r="D618" s="57"/>
      <c r="E618" s="58"/>
      <c r="F618" s="57"/>
      <c r="G618" s="59"/>
      <c r="H618" s="59"/>
      <c r="I618" s="59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>
      <c r="A619" s="57"/>
      <c r="B619" s="57"/>
      <c r="C619" s="57"/>
      <c r="D619" s="57"/>
      <c r="E619" s="58"/>
      <c r="F619" s="57"/>
      <c r="G619" s="59"/>
      <c r="H619" s="59"/>
      <c r="I619" s="59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>
      <c r="A620" s="57"/>
      <c r="B620" s="57"/>
      <c r="C620" s="57"/>
      <c r="D620" s="57"/>
      <c r="E620" s="58"/>
      <c r="F620" s="57"/>
      <c r="G620" s="59"/>
      <c r="H620" s="59"/>
      <c r="I620" s="59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>
      <c r="A621" s="57"/>
      <c r="B621" s="57"/>
      <c r="C621" s="57"/>
      <c r="D621" s="57"/>
      <c r="E621" s="58"/>
      <c r="F621" s="57"/>
      <c r="G621" s="59"/>
      <c r="H621" s="59"/>
      <c r="I621" s="59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>
      <c r="A622" s="57"/>
      <c r="B622" s="57"/>
      <c r="C622" s="57"/>
      <c r="D622" s="57"/>
      <c r="E622" s="58"/>
      <c r="F622" s="57"/>
      <c r="G622" s="59"/>
      <c r="H622" s="59"/>
      <c r="I622" s="59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>
      <c r="A623" s="57"/>
      <c r="B623" s="57"/>
      <c r="C623" s="57"/>
      <c r="D623" s="57"/>
      <c r="E623" s="58"/>
      <c r="F623" s="57"/>
      <c r="G623" s="59"/>
      <c r="H623" s="59"/>
      <c r="I623" s="59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>
      <c r="A624" s="57"/>
      <c r="B624" s="57"/>
      <c r="C624" s="57"/>
      <c r="D624" s="57"/>
      <c r="E624" s="58"/>
      <c r="F624" s="57"/>
      <c r="G624" s="59"/>
      <c r="H624" s="59"/>
      <c r="I624" s="59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>
      <c r="A625" s="57"/>
      <c r="B625" s="57"/>
      <c r="C625" s="57"/>
      <c r="D625" s="57"/>
      <c r="E625" s="58"/>
      <c r="F625" s="57"/>
      <c r="G625" s="59"/>
      <c r="H625" s="59"/>
      <c r="I625" s="59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>
      <c r="A626" s="57"/>
      <c r="B626" s="57"/>
      <c r="C626" s="57"/>
      <c r="D626" s="57"/>
      <c r="E626" s="58"/>
      <c r="F626" s="57"/>
      <c r="G626" s="59"/>
      <c r="H626" s="59"/>
      <c r="I626" s="59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>
      <c r="A627" s="57"/>
      <c r="B627" s="57"/>
      <c r="C627" s="57"/>
      <c r="D627" s="57"/>
      <c r="E627" s="58"/>
      <c r="F627" s="57"/>
      <c r="G627" s="59"/>
      <c r="H627" s="59"/>
      <c r="I627" s="59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>
      <c r="A628" s="57"/>
      <c r="B628" s="57"/>
      <c r="C628" s="57"/>
      <c r="D628" s="57"/>
      <c r="E628" s="58"/>
      <c r="F628" s="57"/>
      <c r="G628" s="59"/>
      <c r="H628" s="59"/>
      <c r="I628" s="59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>
      <c r="A629" s="57"/>
      <c r="B629" s="57"/>
      <c r="C629" s="57"/>
      <c r="D629" s="57"/>
      <c r="E629" s="58"/>
      <c r="F629" s="57"/>
      <c r="G629" s="59"/>
      <c r="H629" s="59"/>
      <c r="I629" s="59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>
      <c r="A630" s="57"/>
      <c r="B630" s="57"/>
      <c r="C630" s="57"/>
      <c r="D630" s="57"/>
      <c r="E630" s="58"/>
      <c r="F630" s="57"/>
      <c r="G630" s="59"/>
      <c r="H630" s="59"/>
      <c r="I630" s="59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>
      <c r="A631" s="57"/>
      <c r="B631" s="57"/>
      <c r="C631" s="57"/>
      <c r="D631" s="57"/>
      <c r="E631" s="58"/>
      <c r="F631" s="57"/>
      <c r="G631" s="59"/>
      <c r="H631" s="59"/>
      <c r="I631" s="59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>
      <c r="A632" s="57"/>
      <c r="B632" s="57"/>
      <c r="C632" s="57"/>
      <c r="D632" s="57"/>
      <c r="E632" s="58"/>
      <c r="F632" s="57"/>
      <c r="G632" s="59"/>
      <c r="H632" s="59"/>
      <c r="I632" s="59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>
      <c r="A633" s="57"/>
      <c r="B633" s="57"/>
      <c r="C633" s="57"/>
      <c r="D633" s="57"/>
      <c r="E633" s="58"/>
      <c r="F633" s="57"/>
      <c r="G633" s="59"/>
      <c r="H633" s="59"/>
      <c r="I633" s="59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>
      <c r="A634" s="57"/>
      <c r="B634" s="57"/>
      <c r="C634" s="57"/>
      <c r="D634" s="57"/>
      <c r="E634" s="58"/>
      <c r="F634" s="57"/>
      <c r="G634" s="59"/>
      <c r="H634" s="59"/>
      <c r="I634" s="59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>
      <c r="A635" s="57"/>
      <c r="B635" s="57"/>
      <c r="C635" s="57"/>
      <c r="D635" s="57"/>
      <c r="E635" s="58"/>
      <c r="F635" s="57"/>
      <c r="G635" s="59"/>
      <c r="H635" s="59"/>
      <c r="I635" s="59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>
      <c r="A636" s="57"/>
      <c r="B636" s="57"/>
      <c r="C636" s="57"/>
      <c r="D636" s="57"/>
      <c r="E636" s="58"/>
      <c r="F636" s="57"/>
      <c r="G636" s="59"/>
      <c r="H636" s="59"/>
      <c r="I636" s="59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>
      <c r="A637" s="57"/>
      <c r="B637" s="57"/>
      <c r="C637" s="57"/>
      <c r="D637" s="57"/>
      <c r="E637" s="58"/>
      <c r="F637" s="57"/>
      <c r="G637" s="59"/>
      <c r="H637" s="59"/>
      <c r="I637" s="59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>
      <c r="A638" s="57"/>
      <c r="B638" s="57"/>
      <c r="C638" s="57"/>
      <c r="D638" s="57"/>
      <c r="E638" s="58"/>
      <c r="F638" s="57"/>
      <c r="G638" s="59"/>
      <c r="H638" s="59"/>
      <c r="I638" s="59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>
      <c r="A639" s="57"/>
      <c r="B639" s="57"/>
      <c r="C639" s="57"/>
      <c r="D639" s="57"/>
      <c r="E639" s="58"/>
      <c r="F639" s="57"/>
      <c r="G639" s="59"/>
      <c r="H639" s="59"/>
      <c r="I639" s="59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>
      <c r="A640" s="57"/>
      <c r="B640" s="57"/>
      <c r="C640" s="57"/>
      <c r="D640" s="57"/>
      <c r="E640" s="58"/>
      <c r="F640" s="57"/>
      <c r="G640" s="59"/>
      <c r="H640" s="59"/>
      <c r="I640" s="59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>
      <c r="A641" s="57"/>
      <c r="B641" s="57"/>
      <c r="C641" s="57"/>
      <c r="D641" s="57"/>
      <c r="E641" s="58"/>
      <c r="F641" s="57"/>
      <c r="G641" s="59"/>
      <c r="H641" s="59"/>
      <c r="I641" s="59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>
      <c r="A642" s="57"/>
      <c r="B642" s="57"/>
      <c r="C642" s="57"/>
      <c r="D642" s="57"/>
      <c r="E642" s="58"/>
      <c r="F642" s="57"/>
      <c r="G642" s="59"/>
      <c r="H642" s="59"/>
      <c r="I642" s="59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>
      <c r="A643" s="57"/>
      <c r="B643" s="57"/>
      <c r="C643" s="57"/>
      <c r="D643" s="57"/>
      <c r="E643" s="58"/>
      <c r="F643" s="57"/>
      <c r="G643" s="59"/>
      <c r="H643" s="59"/>
      <c r="I643" s="59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>
      <c r="A644" s="57"/>
      <c r="B644" s="57"/>
      <c r="C644" s="57"/>
      <c r="D644" s="57"/>
      <c r="E644" s="58"/>
      <c r="F644" s="57"/>
      <c r="G644" s="59"/>
      <c r="H644" s="59"/>
      <c r="I644" s="59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>
      <c r="A645" s="57"/>
      <c r="B645" s="57"/>
      <c r="C645" s="57"/>
      <c r="D645" s="57"/>
      <c r="E645" s="58"/>
      <c r="F645" s="57"/>
      <c r="G645" s="59"/>
      <c r="H645" s="59"/>
      <c r="I645" s="59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>
      <c r="A646" s="57"/>
      <c r="B646" s="57"/>
      <c r="C646" s="57"/>
      <c r="D646" s="57"/>
      <c r="E646" s="58"/>
      <c r="F646" s="57"/>
      <c r="G646" s="59"/>
      <c r="H646" s="59"/>
      <c r="I646" s="59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>
      <c r="A647" s="57"/>
      <c r="B647" s="57"/>
      <c r="C647" s="57"/>
      <c r="D647" s="57"/>
      <c r="E647" s="58"/>
      <c r="F647" s="57"/>
      <c r="G647" s="59"/>
      <c r="H647" s="59"/>
      <c r="I647" s="59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>
      <c r="A648" s="57"/>
      <c r="B648" s="57"/>
      <c r="C648" s="57"/>
      <c r="D648" s="57"/>
      <c r="E648" s="58"/>
      <c r="F648" s="57"/>
      <c r="G648" s="59"/>
      <c r="H648" s="59"/>
      <c r="I648" s="59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>
      <c r="A649" s="57"/>
      <c r="B649" s="57"/>
      <c r="C649" s="57"/>
      <c r="D649" s="57"/>
      <c r="E649" s="58"/>
      <c r="F649" s="57"/>
      <c r="G649" s="59"/>
      <c r="H649" s="59"/>
      <c r="I649" s="59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>
      <c r="A650" s="57"/>
      <c r="B650" s="57"/>
      <c r="C650" s="57"/>
      <c r="D650" s="57"/>
      <c r="E650" s="58"/>
      <c r="F650" s="57"/>
      <c r="G650" s="59"/>
      <c r="H650" s="59"/>
      <c r="I650" s="59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>
      <c r="A651" s="57"/>
      <c r="B651" s="57"/>
      <c r="C651" s="57"/>
      <c r="D651" s="57"/>
      <c r="E651" s="58"/>
      <c r="F651" s="57"/>
      <c r="G651" s="59"/>
      <c r="H651" s="59"/>
      <c r="I651" s="59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>
      <c r="A652" s="57"/>
      <c r="B652" s="57"/>
      <c r="C652" s="57"/>
      <c r="D652" s="57"/>
      <c r="E652" s="58"/>
      <c r="F652" s="57"/>
      <c r="G652" s="59"/>
      <c r="H652" s="59"/>
      <c r="I652" s="59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>
      <c r="A653" s="57"/>
      <c r="B653" s="57"/>
      <c r="C653" s="57"/>
      <c r="D653" s="57"/>
      <c r="E653" s="58"/>
      <c r="F653" s="57"/>
      <c r="G653" s="59"/>
      <c r="H653" s="59"/>
      <c r="I653" s="59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>
      <c r="A654" s="57"/>
      <c r="B654" s="57"/>
      <c r="C654" s="57"/>
      <c r="D654" s="57"/>
      <c r="E654" s="58"/>
      <c r="F654" s="57"/>
      <c r="G654" s="59"/>
      <c r="H654" s="59"/>
      <c r="I654" s="59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>
      <c r="A655" s="57"/>
      <c r="B655" s="57"/>
      <c r="C655" s="57"/>
      <c r="D655" s="57"/>
      <c r="E655" s="58"/>
      <c r="F655" s="57"/>
      <c r="G655" s="59"/>
      <c r="H655" s="59"/>
      <c r="I655" s="59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>
      <c r="A656" s="57"/>
      <c r="B656" s="57"/>
      <c r="C656" s="57"/>
      <c r="D656" s="57"/>
      <c r="E656" s="58"/>
      <c r="F656" s="57"/>
      <c r="G656" s="59"/>
      <c r="H656" s="59"/>
      <c r="I656" s="59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>
      <c r="A657" s="57"/>
      <c r="B657" s="57"/>
      <c r="C657" s="57"/>
      <c r="D657" s="57"/>
      <c r="E657" s="58"/>
      <c r="F657" s="57"/>
      <c r="G657" s="59"/>
      <c r="H657" s="59"/>
      <c r="I657" s="59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>
      <c r="A658" s="57"/>
      <c r="B658" s="57"/>
      <c r="C658" s="57"/>
      <c r="D658" s="57"/>
      <c r="E658" s="58"/>
      <c r="F658" s="57"/>
      <c r="G658" s="59"/>
      <c r="H658" s="59"/>
      <c r="I658" s="59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>
      <c r="A659" s="57"/>
      <c r="B659" s="57"/>
      <c r="C659" s="57"/>
      <c r="D659" s="57"/>
      <c r="E659" s="58"/>
      <c r="F659" s="57"/>
      <c r="G659" s="59"/>
      <c r="H659" s="59"/>
      <c r="I659" s="59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>
      <c r="A660" s="57"/>
      <c r="B660" s="57"/>
      <c r="C660" s="57"/>
      <c r="D660" s="57"/>
      <c r="E660" s="58"/>
      <c r="F660" s="57"/>
      <c r="G660" s="59"/>
      <c r="H660" s="59"/>
      <c r="I660" s="59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>
      <c r="A661" s="57"/>
      <c r="B661" s="57"/>
      <c r="C661" s="57"/>
      <c r="D661" s="57"/>
      <c r="E661" s="58"/>
      <c r="F661" s="57"/>
      <c r="G661" s="59"/>
      <c r="H661" s="59"/>
      <c r="I661" s="59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>
      <c r="A662" s="57"/>
      <c r="B662" s="57"/>
      <c r="C662" s="57"/>
      <c r="D662" s="57"/>
      <c r="E662" s="58"/>
      <c r="F662" s="57"/>
      <c r="G662" s="59"/>
      <c r="H662" s="59"/>
      <c r="I662" s="59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>
      <c r="A663" s="57"/>
      <c r="B663" s="57"/>
      <c r="C663" s="57"/>
      <c r="D663" s="57"/>
      <c r="E663" s="58"/>
      <c r="F663" s="57"/>
      <c r="G663" s="59"/>
      <c r="H663" s="59"/>
      <c r="I663" s="59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>
      <c r="A664" s="57"/>
      <c r="B664" s="57"/>
      <c r="C664" s="57"/>
      <c r="D664" s="57"/>
      <c r="E664" s="58"/>
      <c r="F664" s="57"/>
      <c r="G664" s="59"/>
      <c r="H664" s="59"/>
      <c r="I664" s="59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>
      <c r="A665" s="57"/>
      <c r="B665" s="57"/>
      <c r="C665" s="57"/>
      <c r="D665" s="57"/>
      <c r="E665" s="58"/>
      <c r="F665" s="57"/>
      <c r="G665" s="59"/>
      <c r="H665" s="59"/>
      <c r="I665" s="59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>
      <c r="A666" s="57"/>
      <c r="B666" s="57"/>
      <c r="C666" s="57"/>
      <c r="D666" s="57"/>
      <c r="E666" s="58"/>
      <c r="F666" s="57"/>
      <c r="G666" s="59"/>
      <c r="H666" s="59"/>
      <c r="I666" s="59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>
      <c r="A667" s="57"/>
      <c r="B667" s="57"/>
      <c r="C667" s="57"/>
      <c r="D667" s="57"/>
      <c r="E667" s="58"/>
      <c r="F667" s="57"/>
      <c r="G667" s="59"/>
      <c r="H667" s="59"/>
      <c r="I667" s="59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>
      <c r="A668" s="57"/>
      <c r="B668" s="57"/>
      <c r="C668" s="57"/>
      <c r="D668" s="57"/>
      <c r="E668" s="58"/>
      <c r="F668" s="57"/>
      <c r="G668" s="59"/>
      <c r="H668" s="59"/>
      <c r="I668" s="59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>
      <c r="A669" s="57"/>
      <c r="B669" s="57"/>
      <c r="C669" s="57"/>
      <c r="D669" s="57"/>
      <c r="E669" s="58"/>
      <c r="F669" s="57"/>
      <c r="G669" s="59"/>
      <c r="H669" s="59"/>
      <c r="I669" s="59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>
      <c r="A670" s="57"/>
      <c r="B670" s="57"/>
      <c r="C670" s="57"/>
      <c r="D670" s="57"/>
      <c r="E670" s="58"/>
      <c r="F670" s="57"/>
      <c r="G670" s="59"/>
      <c r="H670" s="59"/>
      <c r="I670" s="59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>
      <c r="A671" s="57"/>
      <c r="B671" s="57"/>
      <c r="C671" s="57"/>
      <c r="D671" s="57"/>
      <c r="E671" s="58"/>
      <c r="F671" s="57"/>
      <c r="G671" s="59"/>
      <c r="H671" s="59"/>
      <c r="I671" s="59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>
      <c r="A672" s="57"/>
      <c r="B672" s="57"/>
      <c r="C672" s="57"/>
      <c r="D672" s="57"/>
      <c r="E672" s="58"/>
      <c r="F672" s="57"/>
      <c r="G672" s="59"/>
      <c r="H672" s="59"/>
      <c r="I672" s="59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>
      <c r="A673" s="57"/>
      <c r="B673" s="57"/>
      <c r="C673" s="57"/>
      <c r="D673" s="57"/>
      <c r="E673" s="58"/>
      <c r="F673" s="57"/>
      <c r="G673" s="59"/>
      <c r="H673" s="59"/>
      <c r="I673" s="59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>
      <c r="A674" s="57"/>
      <c r="B674" s="57"/>
      <c r="C674" s="57"/>
      <c r="D674" s="57"/>
      <c r="E674" s="58"/>
      <c r="F674" s="57"/>
      <c r="G674" s="59"/>
      <c r="H674" s="59"/>
      <c r="I674" s="59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>
      <c r="A675" s="57"/>
      <c r="B675" s="57"/>
      <c r="C675" s="57"/>
      <c r="D675" s="57"/>
      <c r="E675" s="58"/>
      <c r="F675" s="57"/>
      <c r="G675" s="59"/>
      <c r="H675" s="59"/>
      <c r="I675" s="59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>
      <c r="A676" s="57"/>
      <c r="B676" s="57"/>
      <c r="C676" s="57"/>
      <c r="D676" s="57"/>
      <c r="E676" s="58"/>
      <c r="F676" s="57"/>
      <c r="G676" s="59"/>
      <c r="H676" s="59"/>
      <c r="I676" s="59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>
      <c r="A677" s="57"/>
      <c r="B677" s="57"/>
      <c r="C677" s="57"/>
      <c r="D677" s="57"/>
      <c r="E677" s="58"/>
      <c r="F677" s="57"/>
      <c r="G677" s="59"/>
      <c r="H677" s="59"/>
      <c r="I677" s="59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>
      <c r="A678" s="57"/>
      <c r="B678" s="57"/>
      <c r="C678" s="57"/>
      <c r="D678" s="57"/>
      <c r="E678" s="58"/>
      <c r="F678" s="57"/>
      <c r="G678" s="59"/>
      <c r="H678" s="59"/>
      <c r="I678" s="59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>
      <c r="A679" s="57"/>
      <c r="B679" s="57"/>
      <c r="C679" s="57"/>
      <c r="D679" s="57"/>
      <c r="E679" s="58"/>
      <c r="F679" s="57"/>
      <c r="G679" s="59"/>
      <c r="H679" s="59"/>
      <c r="I679" s="59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>
      <c r="A680" s="57"/>
      <c r="B680" s="57"/>
      <c r="C680" s="57"/>
      <c r="D680" s="57"/>
      <c r="E680" s="58"/>
      <c r="F680" s="57"/>
      <c r="G680" s="59"/>
      <c r="H680" s="59"/>
      <c r="I680" s="59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>
      <c r="A681" s="57"/>
      <c r="B681" s="57"/>
      <c r="C681" s="57"/>
      <c r="D681" s="57"/>
      <c r="E681" s="58"/>
      <c r="F681" s="57"/>
      <c r="G681" s="59"/>
      <c r="H681" s="59"/>
      <c r="I681" s="59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>
      <c r="A682" s="57"/>
      <c r="B682" s="57"/>
      <c r="C682" s="57"/>
      <c r="D682" s="57"/>
      <c r="E682" s="58"/>
      <c r="F682" s="57"/>
      <c r="G682" s="59"/>
      <c r="H682" s="59"/>
      <c r="I682" s="59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>
      <c r="A683" s="57"/>
      <c r="B683" s="57"/>
      <c r="C683" s="57"/>
      <c r="D683" s="57"/>
      <c r="E683" s="58"/>
      <c r="F683" s="57"/>
      <c r="G683" s="59"/>
      <c r="H683" s="59"/>
      <c r="I683" s="59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>
      <c r="A684" s="57"/>
      <c r="B684" s="57"/>
      <c r="C684" s="57"/>
      <c r="D684" s="57"/>
      <c r="E684" s="58"/>
      <c r="F684" s="57"/>
      <c r="G684" s="59"/>
      <c r="H684" s="59"/>
      <c r="I684" s="59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>
      <c r="A685" s="57"/>
      <c r="B685" s="57"/>
      <c r="C685" s="57"/>
      <c r="D685" s="57"/>
      <c r="E685" s="58"/>
      <c r="F685" s="57"/>
      <c r="G685" s="59"/>
      <c r="H685" s="59"/>
      <c r="I685" s="59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>
      <c r="A686" s="57"/>
      <c r="B686" s="57"/>
      <c r="C686" s="57"/>
      <c r="D686" s="57"/>
      <c r="E686" s="58"/>
      <c r="F686" s="57"/>
      <c r="G686" s="59"/>
      <c r="H686" s="59"/>
      <c r="I686" s="59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>
      <c r="A687" s="57"/>
      <c r="B687" s="57"/>
      <c r="C687" s="57"/>
      <c r="D687" s="57"/>
      <c r="E687" s="58"/>
      <c r="F687" s="57"/>
      <c r="G687" s="59"/>
      <c r="H687" s="59"/>
      <c r="I687" s="59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>
      <c r="A688" s="57"/>
      <c r="B688" s="57"/>
      <c r="C688" s="57"/>
      <c r="D688" s="57"/>
      <c r="E688" s="58"/>
      <c r="F688" s="57"/>
      <c r="G688" s="59"/>
      <c r="H688" s="59"/>
      <c r="I688" s="59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>
      <c r="A689" s="57"/>
      <c r="B689" s="57"/>
      <c r="C689" s="57"/>
      <c r="D689" s="57"/>
      <c r="E689" s="58"/>
      <c r="F689" s="57"/>
      <c r="G689" s="59"/>
      <c r="H689" s="59"/>
      <c r="I689" s="59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>
      <c r="A690" s="57"/>
      <c r="B690" s="57"/>
      <c r="C690" s="57"/>
      <c r="D690" s="57"/>
      <c r="E690" s="58"/>
      <c r="F690" s="57"/>
      <c r="G690" s="59"/>
      <c r="H690" s="59"/>
      <c r="I690" s="59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>
      <c r="A691" s="57"/>
      <c r="B691" s="57"/>
      <c r="C691" s="57"/>
      <c r="D691" s="57"/>
      <c r="E691" s="58"/>
      <c r="F691" s="57"/>
      <c r="G691" s="59"/>
      <c r="H691" s="59"/>
      <c r="I691" s="59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>
      <c r="A692" s="57"/>
      <c r="B692" s="57"/>
      <c r="C692" s="57"/>
      <c r="D692" s="57"/>
      <c r="E692" s="58"/>
      <c r="F692" s="57"/>
      <c r="G692" s="59"/>
      <c r="H692" s="59"/>
      <c r="I692" s="59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>
      <c r="A693" s="57"/>
      <c r="B693" s="57"/>
      <c r="C693" s="57"/>
      <c r="D693" s="57"/>
      <c r="E693" s="58"/>
      <c r="F693" s="57"/>
      <c r="G693" s="59"/>
      <c r="H693" s="59"/>
      <c r="I693" s="59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>
      <c r="A694" s="57"/>
      <c r="B694" s="57"/>
      <c r="C694" s="57"/>
      <c r="D694" s="57"/>
      <c r="E694" s="58"/>
      <c r="F694" s="57"/>
      <c r="G694" s="59"/>
      <c r="H694" s="59"/>
      <c r="I694" s="59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>
      <c r="A695" s="57"/>
      <c r="B695" s="57"/>
      <c r="C695" s="57"/>
      <c r="D695" s="57"/>
      <c r="E695" s="58"/>
      <c r="F695" s="57"/>
      <c r="G695" s="59"/>
      <c r="H695" s="59"/>
      <c r="I695" s="59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>
      <c r="A696" s="57"/>
      <c r="B696" s="57"/>
      <c r="C696" s="57"/>
      <c r="D696" s="57"/>
      <c r="E696" s="58"/>
      <c r="F696" s="57"/>
      <c r="G696" s="59"/>
      <c r="H696" s="59"/>
      <c r="I696" s="59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>
      <c r="A697" s="57"/>
      <c r="B697" s="57"/>
      <c r="C697" s="57"/>
      <c r="D697" s="57"/>
      <c r="E697" s="58"/>
      <c r="F697" s="57"/>
      <c r="G697" s="59"/>
      <c r="H697" s="59"/>
      <c r="I697" s="59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>
      <c r="A698" s="57"/>
      <c r="B698" s="57"/>
      <c r="C698" s="57"/>
      <c r="D698" s="57"/>
      <c r="E698" s="58"/>
      <c r="F698" s="57"/>
      <c r="G698" s="59"/>
      <c r="H698" s="59"/>
      <c r="I698" s="59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>
      <c r="A699" s="57"/>
      <c r="B699" s="57"/>
      <c r="C699" s="57"/>
      <c r="D699" s="57"/>
      <c r="E699" s="58"/>
      <c r="F699" s="57"/>
      <c r="G699" s="59"/>
      <c r="H699" s="59"/>
      <c r="I699" s="59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>
      <c r="A700" s="57"/>
      <c r="B700" s="57"/>
      <c r="C700" s="57"/>
      <c r="D700" s="57"/>
      <c r="E700" s="58"/>
      <c r="F700" s="57"/>
      <c r="G700" s="59"/>
      <c r="H700" s="59"/>
      <c r="I700" s="59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>
      <c r="A701" s="57"/>
      <c r="B701" s="57"/>
      <c r="C701" s="57"/>
      <c r="D701" s="57"/>
      <c r="E701" s="58"/>
      <c r="F701" s="57"/>
      <c r="G701" s="59"/>
      <c r="H701" s="59"/>
      <c r="I701" s="59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>
      <c r="A702" s="57"/>
      <c r="B702" s="57"/>
      <c r="C702" s="57"/>
      <c r="D702" s="57"/>
      <c r="E702" s="58"/>
      <c r="F702" s="57"/>
      <c r="G702" s="59"/>
      <c r="H702" s="59"/>
      <c r="I702" s="59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>
      <c r="A703" s="57"/>
      <c r="B703" s="57"/>
      <c r="C703" s="57"/>
      <c r="D703" s="57"/>
      <c r="E703" s="58"/>
      <c r="F703" s="57"/>
      <c r="G703" s="59"/>
      <c r="H703" s="59"/>
      <c r="I703" s="59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>
      <c r="A704" s="57"/>
      <c r="B704" s="57"/>
      <c r="C704" s="57"/>
      <c r="D704" s="57"/>
      <c r="E704" s="58"/>
      <c r="F704" s="57"/>
      <c r="G704" s="59"/>
      <c r="H704" s="59"/>
      <c r="I704" s="59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>
      <c r="A705" s="57"/>
      <c r="B705" s="57"/>
      <c r="C705" s="57"/>
      <c r="D705" s="57"/>
      <c r="E705" s="58"/>
      <c r="F705" s="57"/>
      <c r="G705" s="59"/>
      <c r="H705" s="59"/>
      <c r="I705" s="59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>
      <c r="A706" s="57"/>
      <c r="B706" s="57"/>
      <c r="C706" s="57"/>
      <c r="D706" s="57"/>
      <c r="E706" s="58"/>
      <c r="F706" s="57"/>
      <c r="G706" s="59"/>
      <c r="H706" s="59"/>
      <c r="I706" s="59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>
      <c r="A707" s="57"/>
      <c r="B707" s="57"/>
      <c r="C707" s="57"/>
      <c r="D707" s="57"/>
      <c r="E707" s="58"/>
      <c r="F707" s="57"/>
      <c r="G707" s="59"/>
      <c r="H707" s="59"/>
      <c r="I707" s="59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>
      <c r="A708" s="57"/>
      <c r="B708" s="57"/>
      <c r="C708" s="57"/>
      <c r="D708" s="57"/>
      <c r="E708" s="58"/>
      <c r="F708" s="57"/>
      <c r="G708" s="59"/>
      <c r="H708" s="59"/>
      <c r="I708" s="59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>
      <c r="A709" s="57"/>
      <c r="B709" s="57"/>
      <c r="C709" s="57"/>
      <c r="D709" s="57"/>
      <c r="E709" s="58"/>
      <c r="F709" s="57"/>
      <c r="G709" s="59"/>
      <c r="H709" s="59"/>
      <c r="I709" s="59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>
      <c r="A710" s="57"/>
      <c r="B710" s="57"/>
      <c r="C710" s="57"/>
      <c r="D710" s="57"/>
      <c r="E710" s="58"/>
      <c r="F710" s="57"/>
      <c r="G710" s="59"/>
      <c r="H710" s="59"/>
      <c r="I710" s="59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>
      <c r="A711" s="57"/>
      <c r="B711" s="57"/>
      <c r="C711" s="57"/>
      <c r="D711" s="57"/>
      <c r="E711" s="58"/>
      <c r="F711" s="57"/>
      <c r="G711" s="59"/>
      <c r="H711" s="59"/>
      <c r="I711" s="59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>
      <c r="A712" s="57"/>
      <c r="B712" s="57"/>
      <c r="C712" s="57"/>
      <c r="D712" s="57"/>
      <c r="E712" s="58"/>
      <c r="F712" s="57"/>
      <c r="G712" s="59"/>
      <c r="H712" s="59"/>
      <c r="I712" s="59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>
      <c r="A713" s="57"/>
      <c r="B713" s="57"/>
      <c r="C713" s="57"/>
      <c r="D713" s="57"/>
      <c r="E713" s="58"/>
      <c r="F713" s="57"/>
      <c r="G713" s="59"/>
      <c r="H713" s="59"/>
      <c r="I713" s="59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>
      <c r="A714" s="57"/>
      <c r="B714" s="57"/>
      <c r="C714" s="57"/>
      <c r="D714" s="57"/>
      <c r="E714" s="58"/>
      <c r="F714" s="57"/>
      <c r="G714" s="59"/>
      <c r="H714" s="59"/>
      <c r="I714" s="59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>
      <c r="A715" s="57"/>
      <c r="B715" s="57"/>
      <c r="C715" s="57"/>
      <c r="D715" s="57"/>
      <c r="E715" s="58"/>
      <c r="F715" s="57"/>
      <c r="G715" s="59"/>
      <c r="H715" s="59"/>
      <c r="I715" s="59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>
      <c r="A716" s="57"/>
      <c r="B716" s="57"/>
      <c r="C716" s="57"/>
      <c r="D716" s="57"/>
      <c r="E716" s="58"/>
      <c r="F716" s="57"/>
      <c r="G716" s="59"/>
      <c r="H716" s="59"/>
      <c r="I716" s="59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>
      <c r="A717" s="57"/>
      <c r="B717" s="57"/>
      <c r="C717" s="57"/>
      <c r="D717" s="57"/>
      <c r="E717" s="58"/>
      <c r="F717" s="57"/>
      <c r="G717" s="59"/>
      <c r="H717" s="59"/>
      <c r="I717" s="59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>
      <c r="A718" s="57"/>
      <c r="B718" s="57"/>
      <c r="C718" s="57"/>
      <c r="D718" s="57"/>
      <c r="E718" s="58"/>
      <c r="F718" s="57"/>
      <c r="G718" s="59"/>
      <c r="H718" s="59"/>
      <c r="I718" s="59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>
      <c r="A719" s="57"/>
      <c r="B719" s="57"/>
      <c r="C719" s="57"/>
      <c r="D719" s="57"/>
      <c r="E719" s="58"/>
      <c r="F719" s="57"/>
      <c r="G719" s="59"/>
      <c r="H719" s="59"/>
      <c r="I719" s="59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>
      <c r="A720" s="57"/>
      <c r="B720" s="57"/>
      <c r="C720" s="57"/>
      <c r="D720" s="57"/>
      <c r="E720" s="58"/>
      <c r="F720" s="57"/>
      <c r="G720" s="59"/>
      <c r="H720" s="59"/>
      <c r="I720" s="59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>
      <c r="A721" s="57"/>
      <c r="B721" s="57"/>
      <c r="C721" s="57"/>
      <c r="D721" s="57"/>
      <c r="E721" s="58"/>
      <c r="F721" s="57"/>
      <c r="G721" s="59"/>
      <c r="H721" s="59"/>
      <c r="I721" s="59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>
      <c r="A722" s="57"/>
      <c r="B722" s="57"/>
      <c r="C722" s="57"/>
      <c r="D722" s="57"/>
      <c r="E722" s="58"/>
      <c r="F722" s="57"/>
      <c r="G722" s="59"/>
      <c r="H722" s="59"/>
      <c r="I722" s="59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>
      <c r="A723" s="57"/>
      <c r="B723" s="57"/>
      <c r="C723" s="57"/>
      <c r="D723" s="57"/>
      <c r="E723" s="58"/>
      <c r="F723" s="57"/>
      <c r="G723" s="59"/>
      <c r="H723" s="59"/>
      <c r="I723" s="59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>
      <c r="A724" s="57"/>
      <c r="B724" s="57"/>
      <c r="C724" s="57"/>
      <c r="D724" s="57"/>
      <c r="E724" s="58"/>
      <c r="F724" s="57"/>
      <c r="G724" s="59"/>
      <c r="H724" s="59"/>
      <c r="I724" s="59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>
      <c r="A725" s="57"/>
      <c r="B725" s="57"/>
      <c r="C725" s="57"/>
      <c r="D725" s="57"/>
      <c r="E725" s="58"/>
      <c r="F725" s="57"/>
      <c r="G725" s="59"/>
      <c r="H725" s="59"/>
      <c r="I725" s="59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>
      <c r="A726" s="57"/>
      <c r="B726" s="57"/>
      <c r="C726" s="57"/>
      <c r="D726" s="57"/>
      <c r="E726" s="58"/>
      <c r="F726" s="57"/>
      <c r="G726" s="59"/>
      <c r="H726" s="59"/>
      <c r="I726" s="59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>
      <c r="A727" s="57"/>
      <c r="B727" s="57"/>
      <c r="C727" s="57"/>
      <c r="D727" s="57"/>
      <c r="E727" s="58"/>
      <c r="F727" s="57"/>
      <c r="G727" s="59"/>
      <c r="H727" s="59"/>
      <c r="I727" s="59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>
      <c r="A728" s="57"/>
      <c r="B728" s="57"/>
      <c r="C728" s="57"/>
      <c r="D728" s="57"/>
      <c r="E728" s="58"/>
      <c r="F728" s="57"/>
      <c r="G728" s="59"/>
      <c r="H728" s="59"/>
      <c r="I728" s="59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>
      <c r="A729" s="57"/>
      <c r="B729" s="57"/>
      <c r="C729" s="57"/>
      <c r="D729" s="57"/>
      <c r="E729" s="58"/>
      <c r="F729" s="57"/>
      <c r="G729" s="59"/>
      <c r="H729" s="59"/>
      <c r="I729" s="59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>
      <c r="A730" s="57"/>
      <c r="B730" s="57"/>
      <c r="C730" s="57"/>
      <c r="D730" s="57"/>
      <c r="E730" s="58"/>
      <c r="F730" s="57"/>
      <c r="G730" s="59"/>
      <c r="H730" s="59"/>
      <c r="I730" s="59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>
      <c r="A731" s="57"/>
      <c r="B731" s="57"/>
      <c r="C731" s="57"/>
      <c r="D731" s="57"/>
      <c r="E731" s="58"/>
      <c r="F731" s="57"/>
      <c r="G731" s="59"/>
      <c r="H731" s="59"/>
      <c r="I731" s="59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>
      <c r="A732" s="57"/>
      <c r="B732" s="57"/>
      <c r="C732" s="57"/>
      <c r="D732" s="57"/>
      <c r="E732" s="58"/>
      <c r="F732" s="57"/>
      <c r="G732" s="59"/>
      <c r="H732" s="59"/>
      <c r="I732" s="59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>
      <c r="A733" s="57"/>
      <c r="B733" s="57"/>
      <c r="C733" s="57"/>
      <c r="D733" s="57"/>
      <c r="E733" s="58"/>
      <c r="F733" s="57"/>
      <c r="G733" s="59"/>
      <c r="H733" s="59"/>
      <c r="I733" s="59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>
      <c r="A734" s="57"/>
      <c r="B734" s="57"/>
      <c r="C734" s="57"/>
      <c r="D734" s="57"/>
      <c r="E734" s="58"/>
      <c r="F734" s="57"/>
      <c r="G734" s="59"/>
      <c r="H734" s="59"/>
      <c r="I734" s="59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>
      <c r="A735" s="57"/>
      <c r="B735" s="57"/>
      <c r="C735" s="57"/>
      <c r="D735" s="57"/>
      <c r="E735" s="58"/>
      <c r="F735" s="57"/>
      <c r="G735" s="59"/>
      <c r="H735" s="59"/>
      <c r="I735" s="59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>
      <c r="A736" s="57"/>
      <c r="B736" s="57"/>
      <c r="C736" s="57"/>
      <c r="D736" s="57"/>
      <c r="E736" s="58"/>
      <c r="F736" s="57"/>
      <c r="G736" s="59"/>
      <c r="H736" s="59"/>
      <c r="I736" s="59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>
      <c r="A737" s="57"/>
      <c r="B737" s="57"/>
      <c r="C737" s="57"/>
      <c r="D737" s="57"/>
      <c r="E737" s="58"/>
      <c r="F737" s="57"/>
      <c r="G737" s="59"/>
      <c r="H737" s="59"/>
      <c r="I737" s="59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>
      <c r="A738" s="57"/>
      <c r="B738" s="57"/>
      <c r="C738" s="57"/>
      <c r="D738" s="57"/>
      <c r="E738" s="58"/>
      <c r="F738" s="57"/>
      <c r="G738" s="59"/>
      <c r="H738" s="59"/>
      <c r="I738" s="59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>
      <c r="A739" s="57"/>
      <c r="B739" s="57"/>
      <c r="C739" s="57"/>
      <c r="D739" s="57"/>
      <c r="E739" s="58"/>
      <c r="F739" s="57"/>
      <c r="G739" s="59"/>
      <c r="H739" s="59"/>
      <c r="I739" s="59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>
      <c r="A740" s="57"/>
      <c r="B740" s="57"/>
      <c r="C740" s="57"/>
      <c r="D740" s="57"/>
      <c r="E740" s="58"/>
      <c r="F740" s="57"/>
      <c r="G740" s="59"/>
      <c r="H740" s="59"/>
      <c r="I740" s="59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>
      <c r="A741" s="57"/>
      <c r="B741" s="57"/>
      <c r="C741" s="57"/>
      <c r="D741" s="57"/>
      <c r="E741" s="58"/>
      <c r="F741" s="57"/>
      <c r="G741" s="59"/>
      <c r="H741" s="59"/>
      <c r="I741" s="59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>
      <c r="A742" s="57"/>
      <c r="B742" s="57"/>
      <c r="C742" s="57"/>
      <c r="D742" s="57"/>
      <c r="E742" s="58"/>
      <c r="F742" s="57"/>
      <c r="G742" s="59"/>
      <c r="H742" s="59"/>
      <c r="I742" s="59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>
      <c r="A743" s="57"/>
      <c r="B743" s="57"/>
      <c r="C743" s="57"/>
      <c r="D743" s="57"/>
      <c r="E743" s="58"/>
      <c r="F743" s="57"/>
      <c r="G743" s="59"/>
      <c r="H743" s="59"/>
      <c r="I743" s="59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>
      <c r="A744" s="57"/>
      <c r="B744" s="57"/>
      <c r="C744" s="57"/>
      <c r="D744" s="57"/>
      <c r="E744" s="58"/>
      <c r="F744" s="57"/>
      <c r="G744" s="59"/>
      <c r="H744" s="59"/>
      <c r="I744" s="59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>
      <c r="A745" s="57"/>
      <c r="B745" s="57"/>
      <c r="C745" s="57"/>
      <c r="D745" s="57"/>
      <c r="E745" s="58"/>
      <c r="F745" s="57"/>
      <c r="G745" s="59"/>
      <c r="H745" s="59"/>
      <c r="I745" s="59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>
      <c r="A746" s="57"/>
      <c r="B746" s="57"/>
      <c r="C746" s="57"/>
      <c r="D746" s="57"/>
      <c r="E746" s="58"/>
      <c r="F746" s="57"/>
      <c r="G746" s="59"/>
      <c r="H746" s="59"/>
      <c r="I746" s="59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>
      <c r="A747" s="57"/>
      <c r="B747" s="57"/>
      <c r="C747" s="57"/>
      <c r="D747" s="57"/>
      <c r="E747" s="58"/>
      <c r="F747" s="57"/>
      <c r="G747" s="59"/>
      <c r="H747" s="59"/>
      <c r="I747" s="59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>
      <c r="A748" s="57"/>
      <c r="B748" s="57"/>
      <c r="C748" s="57"/>
      <c r="D748" s="57"/>
      <c r="E748" s="58"/>
      <c r="F748" s="57"/>
      <c r="G748" s="59"/>
      <c r="H748" s="59"/>
      <c r="I748" s="59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>
      <c r="A749" s="57"/>
      <c r="B749" s="57"/>
      <c r="C749" s="57"/>
      <c r="D749" s="57"/>
      <c r="E749" s="58"/>
      <c r="F749" s="57"/>
      <c r="G749" s="59"/>
      <c r="H749" s="59"/>
      <c r="I749" s="59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>
      <c r="A750" s="57"/>
      <c r="B750" s="57"/>
      <c r="C750" s="57"/>
      <c r="D750" s="57"/>
      <c r="E750" s="58"/>
      <c r="F750" s="57"/>
      <c r="G750" s="59"/>
      <c r="H750" s="59"/>
      <c r="I750" s="59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>
      <c r="A751" s="57"/>
      <c r="B751" s="57"/>
      <c r="C751" s="57"/>
      <c r="D751" s="57"/>
      <c r="E751" s="58"/>
      <c r="F751" s="57"/>
      <c r="G751" s="59"/>
      <c r="H751" s="59"/>
      <c r="I751" s="59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>
      <c r="A752" s="57"/>
      <c r="B752" s="57"/>
      <c r="C752" s="57"/>
      <c r="D752" s="57"/>
      <c r="E752" s="58"/>
      <c r="F752" s="57"/>
      <c r="G752" s="59"/>
      <c r="H752" s="59"/>
      <c r="I752" s="59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>
      <c r="A753" s="57"/>
      <c r="B753" s="57"/>
      <c r="C753" s="57"/>
      <c r="D753" s="57"/>
      <c r="E753" s="58"/>
      <c r="F753" s="57"/>
      <c r="G753" s="59"/>
      <c r="H753" s="59"/>
      <c r="I753" s="59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>
      <c r="A754" s="57"/>
      <c r="B754" s="57"/>
      <c r="C754" s="57"/>
      <c r="D754" s="57"/>
      <c r="E754" s="58"/>
      <c r="F754" s="57"/>
      <c r="G754" s="59"/>
      <c r="H754" s="59"/>
      <c r="I754" s="59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>
      <c r="A755" s="57"/>
      <c r="B755" s="57"/>
      <c r="C755" s="57"/>
      <c r="D755" s="57"/>
      <c r="E755" s="58"/>
      <c r="F755" s="57"/>
      <c r="G755" s="59"/>
      <c r="H755" s="59"/>
      <c r="I755" s="59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>
      <c r="A756" s="57"/>
      <c r="B756" s="57"/>
      <c r="C756" s="57"/>
      <c r="D756" s="57"/>
      <c r="E756" s="58"/>
      <c r="F756" s="57"/>
      <c r="G756" s="59"/>
      <c r="H756" s="59"/>
      <c r="I756" s="59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>
      <c r="A757" s="57"/>
      <c r="B757" s="57"/>
      <c r="C757" s="57"/>
      <c r="D757" s="57"/>
      <c r="E757" s="58"/>
      <c r="F757" s="57"/>
      <c r="G757" s="59"/>
      <c r="H757" s="59"/>
      <c r="I757" s="59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>
      <c r="A758" s="57"/>
      <c r="B758" s="57"/>
      <c r="C758" s="57"/>
      <c r="D758" s="57"/>
      <c r="E758" s="58"/>
      <c r="F758" s="57"/>
      <c r="G758" s="59"/>
      <c r="H758" s="59"/>
      <c r="I758" s="59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>
      <c r="A759" s="57"/>
      <c r="B759" s="57"/>
      <c r="C759" s="57"/>
      <c r="D759" s="57"/>
      <c r="E759" s="58"/>
      <c r="F759" s="57"/>
      <c r="G759" s="59"/>
      <c r="H759" s="59"/>
      <c r="I759" s="59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>
      <c r="A760" s="57"/>
      <c r="B760" s="57"/>
      <c r="C760" s="57"/>
      <c r="D760" s="57"/>
      <c r="E760" s="58"/>
      <c r="F760" s="57"/>
      <c r="G760" s="59"/>
      <c r="H760" s="59"/>
      <c r="I760" s="59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>
      <c r="A761" s="57"/>
      <c r="B761" s="57"/>
      <c r="C761" s="57"/>
      <c r="D761" s="57"/>
      <c r="E761" s="58"/>
      <c r="F761" s="57"/>
      <c r="G761" s="59"/>
      <c r="H761" s="59"/>
      <c r="I761" s="59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>
      <c r="A762" s="57"/>
      <c r="B762" s="57"/>
      <c r="C762" s="57"/>
      <c r="D762" s="57"/>
      <c r="E762" s="58"/>
      <c r="F762" s="57"/>
      <c r="G762" s="59"/>
      <c r="H762" s="59"/>
      <c r="I762" s="59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>
      <c r="A763" s="57"/>
      <c r="B763" s="57"/>
      <c r="C763" s="57"/>
      <c r="D763" s="57"/>
      <c r="E763" s="58"/>
      <c r="F763" s="57"/>
      <c r="G763" s="59"/>
      <c r="H763" s="59"/>
      <c r="I763" s="59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>
      <c r="A764" s="57"/>
      <c r="B764" s="57"/>
      <c r="C764" s="57"/>
      <c r="D764" s="57"/>
      <c r="E764" s="58"/>
      <c r="F764" s="57"/>
      <c r="G764" s="59"/>
      <c r="H764" s="59"/>
      <c r="I764" s="59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>
      <c r="A765" s="57"/>
      <c r="B765" s="57"/>
      <c r="C765" s="57"/>
      <c r="D765" s="57"/>
      <c r="E765" s="58"/>
      <c r="F765" s="57"/>
      <c r="G765" s="59"/>
      <c r="H765" s="59"/>
      <c r="I765" s="59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>
      <c r="A766" s="57"/>
      <c r="B766" s="57"/>
      <c r="C766" s="57"/>
      <c r="D766" s="57"/>
      <c r="E766" s="58"/>
      <c r="F766" s="57"/>
      <c r="G766" s="59"/>
      <c r="H766" s="59"/>
      <c r="I766" s="59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>
      <c r="A767" s="57"/>
      <c r="B767" s="57"/>
      <c r="C767" s="57"/>
      <c r="D767" s="57"/>
      <c r="E767" s="58"/>
      <c r="F767" s="57"/>
      <c r="G767" s="59"/>
      <c r="H767" s="59"/>
      <c r="I767" s="59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>
      <c r="A768" s="57"/>
      <c r="B768" s="57"/>
      <c r="C768" s="57"/>
      <c r="D768" s="57"/>
      <c r="E768" s="58"/>
      <c r="F768" s="57"/>
      <c r="G768" s="59"/>
      <c r="H768" s="59"/>
      <c r="I768" s="59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>
      <c r="A769" s="57"/>
      <c r="B769" s="57"/>
      <c r="C769" s="57"/>
      <c r="D769" s="57"/>
      <c r="E769" s="58"/>
      <c r="F769" s="57"/>
      <c r="G769" s="59"/>
      <c r="H769" s="59"/>
      <c r="I769" s="59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>
      <c r="A770" s="57"/>
      <c r="B770" s="57"/>
      <c r="C770" s="57"/>
      <c r="D770" s="57"/>
      <c r="E770" s="58"/>
      <c r="F770" s="57"/>
      <c r="G770" s="59"/>
      <c r="H770" s="59"/>
      <c r="I770" s="59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>
      <c r="A771" s="57"/>
      <c r="B771" s="57"/>
      <c r="C771" s="57"/>
      <c r="D771" s="57"/>
      <c r="E771" s="58"/>
      <c r="F771" s="57"/>
      <c r="G771" s="59"/>
      <c r="H771" s="59"/>
      <c r="I771" s="59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>
      <c r="A772" s="57"/>
      <c r="B772" s="57"/>
      <c r="C772" s="57"/>
      <c r="D772" s="57"/>
      <c r="E772" s="58"/>
      <c r="F772" s="57"/>
      <c r="G772" s="59"/>
      <c r="H772" s="59"/>
      <c r="I772" s="59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>
      <c r="A773" s="57"/>
      <c r="B773" s="57"/>
      <c r="C773" s="57"/>
      <c r="D773" s="57"/>
      <c r="E773" s="58"/>
      <c r="F773" s="57"/>
      <c r="G773" s="59"/>
      <c r="H773" s="59"/>
      <c r="I773" s="59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>
      <c r="A774" s="57"/>
      <c r="B774" s="57"/>
      <c r="C774" s="57"/>
      <c r="D774" s="57"/>
      <c r="E774" s="58"/>
      <c r="F774" s="57"/>
      <c r="G774" s="59"/>
      <c r="H774" s="59"/>
      <c r="I774" s="59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>
      <c r="A775" s="57"/>
      <c r="B775" s="57"/>
      <c r="C775" s="57"/>
      <c r="D775" s="57"/>
      <c r="E775" s="58"/>
      <c r="F775" s="57"/>
      <c r="G775" s="59"/>
      <c r="H775" s="59"/>
      <c r="I775" s="59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>
      <c r="A776" s="57"/>
      <c r="B776" s="57"/>
      <c r="C776" s="57"/>
      <c r="D776" s="57"/>
      <c r="E776" s="58"/>
      <c r="F776" s="57"/>
      <c r="G776" s="59"/>
      <c r="H776" s="59"/>
      <c r="I776" s="59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>
      <c r="A777" s="57"/>
      <c r="B777" s="57"/>
      <c r="C777" s="57"/>
      <c r="D777" s="57"/>
      <c r="E777" s="58"/>
      <c r="F777" s="57"/>
      <c r="G777" s="59"/>
      <c r="H777" s="59"/>
      <c r="I777" s="59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>
      <c r="A778" s="57"/>
      <c r="B778" s="57"/>
      <c r="C778" s="57"/>
      <c r="D778" s="57"/>
      <c r="E778" s="58"/>
      <c r="F778" s="57"/>
      <c r="G778" s="59"/>
      <c r="H778" s="59"/>
      <c r="I778" s="59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>
      <c r="A779" s="57"/>
      <c r="B779" s="57"/>
      <c r="C779" s="57"/>
      <c r="D779" s="57"/>
      <c r="E779" s="58"/>
      <c r="F779" s="57"/>
      <c r="G779" s="59"/>
      <c r="H779" s="59"/>
      <c r="I779" s="59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>
      <c r="A780" s="57"/>
      <c r="B780" s="57"/>
      <c r="C780" s="57"/>
      <c r="D780" s="57"/>
      <c r="E780" s="58"/>
      <c r="F780" s="57"/>
      <c r="G780" s="59"/>
      <c r="H780" s="59"/>
      <c r="I780" s="59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>
      <c r="A781" s="57"/>
      <c r="B781" s="57"/>
      <c r="C781" s="57"/>
      <c r="D781" s="57"/>
      <c r="E781" s="58"/>
      <c r="F781" s="57"/>
      <c r="G781" s="59"/>
      <c r="H781" s="59"/>
      <c r="I781" s="59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>
      <c r="A782" s="57"/>
      <c r="B782" s="57"/>
      <c r="C782" s="57"/>
      <c r="D782" s="57"/>
      <c r="E782" s="58"/>
      <c r="F782" s="57"/>
      <c r="G782" s="59"/>
      <c r="H782" s="59"/>
      <c r="I782" s="59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>
      <c r="A783" s="57"/>
      <c r="B783" s="57"/>
      <c r="C783" s="57"/>
      <c r="D783" s="57"/>
      <c r="E783" s="58"/>
      <c r="F783" s="57"/>
      <c r="G783" s="59"/>
      <c r="H783" s="59"/>
      <c r="I783" s="59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>
      <c r="A784" s="57"/>
      <c r="B784" s="57"/>
      <c r="C784" s="57"/>
      <c r="D784" s="57"/>
      <c r="E784" s="58"/>
      <c r="F784" s="57"/>
      <c r="G784" s="59"/>
      <c r="H784" s="59"/>
      <c r="I784" s="59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>
      <c r="A785" s="57"/>
      <c r="B785" s="57"/>
      <c r="C785" s="57"/>
      <c r="D785" s="57"/>
      <c r="E785" s="58"/>
      <c r="F785" s="57"/>
      <c r="G785" s="59"/>
      <c r="H785" s="59"/>
      <c r="I785" s="59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>
      <c r="A786" s="57"/>
      <c r="B786" s="57"/>
      <c r="C786" s="57"/>
      <c r="D786" s="57"/>
      <c r="E786" s="58"/>
      <c r="F786" s="57"/>
      <c r="G786" s="59"/>
      <c r="H786" s="59"/>
      <c r="I786" s="59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>
      <c r="A787" s="57"/>
      <c r="B787" s="57"/>
      <c r="C787" s="57"/>
      <c r="D787" s="57"/>
      <c r="E787" s="58"/>
      <c r="F787" s="57"/>
      <c r="G787" s="59"/>
      <c r="H787" s="59"/>
      <c r="I787" s="59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>
      <c r="A788" s="57"/>
      <c r="B788" s="57"/>
      <c r="C788" s="57"/>
      <c r="D788" s="57"/>
      <c r="E788" s="58"/>
      <c r="F788" s="57"/>
      <c r="G788" s="59"/>
      <c r="H788" s="59"/>
      <c r="I788" s="59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>
      <c r="A789" s="57"/>
      <c r="B789" s="57"/>
      <c r="C789" s="57"/>
      <c r="D789" s="57"/>
      <c r="E789" s="58"/>
      <c r="F789" s="57"/>
      <c r="G789" s="59"/>
      <c r="H789" s="59"/>
      <c r="I789" s="59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>
      <c r="A790" s="57"/>
      <c r="B790" s="57"/>
      <c r="C790" s="57"/>
      <c r="D790" s="57"/>
      <c r="E790" s="58"/>
      <c r="F790" s="57"/>
      <c r="G790" s="59"/>
      <c r="H790" s="59"/>
      <c r="I790" s="59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>
      <c r="A791" s="57"/>
      <c r="B791" s="57"/>
      <c r="C791" s="57"/>
      <c r="D791" s="57"/>
      <c r="E791" s="58"/>
      <c r="F791" s="57"/>
      <c r="G791" s="59"/>
      <c r="H791" s="59"/>
      <c r="I791" s="59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>
      <c r="A792" s="57"/>
      <c r="B792" s="57"/>
      <c r="C792" s="57"/>
      <c r="D792" s="57"/>
      <c r="E792" s="58"/>
      <c r="F792" s="57"/>
      <c r="G792" s="59"/>
      <c r="H792" s="59"/>
      <c r="I792" s="59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>
      <c r="A793" s="57"/>
      <c r="B793" s="57"/>
      <c r="C793" s="57"/>
      <c r="D793" s="57"/>
      <c r="E793" s="58"/>
      <c r="F793" s="57"/>
      <c r="G793" s="59"/>
      <c r="H793" s="59"/>
      <c r="I793" s="59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>
      <c r="A794" s="57"/>
      <c r="B794" s="57"/>
      <c r="C794" s="57"/>
      <c r="D794" s="57"/>
      <c r="E794" s="58"/>
      <c r="F794" s="57"/>
      <c r="G794" s="59"/>
      <c r="H794" s="59"/>
      <c r="I794" s="59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>
      <c r="A795" s="57"/>
      <c r="B795" s="57"/>
      <c r="C795" s="57"/>
      <c r="D795" s="57"/>
      <c r="E795" s="58"/>
      <c r="F795" s="57"/>
      <c r="G795" s="59"/>
      <c r="H795" s="59"/>
      <c r="I795" s="59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>
      <c r="A796" s="57"/>
      <c r="B796" s="57"/>
      <c r="C796" s="57"/>
      <c r="D796" s="57"/>
      <c r="E796" s="58"/>
      <c r="F796" s="57"/>
      <c r="G796" s="59"/>
      <c r="H796" s="59"/>
      <c r="I796" s="59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>
      <c r="A797" s="57"/>
      <c r="B797" s="57"/>
      <c r="C797" s="57"/>
      <c r="D797" s="57"/>
      <c r="E797" s="58"/>
      <c r="F797" s="57"/>
      <c r="G797" s="59"/>
      <c r="H797" s="59"/>
      <c r="I797" s="59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>
      <c r="A798" s="57"/>
      <c r="B798" s="57"/>
      <c r="C798" s="57"/>
      <c r="D798" s="57"/>
      <c r="E798" s="58"/>
      <c r="F798" s="57"/>
      <c r="G798" s="59"/>
      <c r="H798" s="59"/>
      <c r="I798" s="59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>
      <c r="A799" s="57"/>
      <c r="B799" s="57"/>
      <c r="C799" s="57"/>
      <c r="D799" s="57"/>
      <c r="E799" s="58"/>
      <c r="F799" s="57"/>
      <c r="G799" s="59"/>
      <c r="H799" s="59"/>
      <c r="I799" s="59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>
      <c r="A800" s="57"/>
      <c r="B800" s="57"/>
      <c r="C800" s="57"/>
      <c r="D800" s="57"/>
      <c r="E800" s="58"/>
      <c r="F800" s="57"/>
      <c r="G800" s="59"/>
      <c r="H800" s="59"/>
      <c r="I800" s="59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>
      <c r="A801" s="57"/>
      <c r="B801" s="57"/>
      <c r="C801" s="57"/>
      <c r="D801" s="57"/>
      <c r="E801" s="58"/>
      <c r="F801" s="57"/>
      <c r="G801" s="59"/>
      <c r="H801" s="59"/>
      <c r="I801" s="59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>
      <c r="A802" s="57"/>
      <c r="B802" s="57"/>
      <c r="C802" s="57"/>
      <c r="D802" s="57"/>
      <c r="E802" s="58"/>
      <c r="F802" s="57"/>
      <c r="G802" s="59"/>
      <c r="H802" s="59"/>
      <c r="I802" s="59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>
      <c r="A803" s="57"/>
      <c r="B803" s="57"/>
      <c r="C803" s="57"/>
      <c r="D803" s="57"/>
      <c r="E803" s="58"/>
      <c r="F803" s="57"/>
      <c r="G803" s="59"/>
      <c r="H803" s="59"/>
      <c r="I803" s="59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>
      <c r="A804" s="57"/>
      <c r="B804" s="57"/>
      <c r="C804" s="57"/>
      <c r="D804" s="57"/>
      <c r="E804" s="58"/>
      <c r="F804" s="57"/>
      <c r="G804" s="59"/>
      <c r="H804" s="59"/>
      <c r="I804" s="59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>
      <c r="A805" s="57"/>
      <c r="B805" s="57"/>
      <c r="C805" s="57"/>
      <c r="D805" s="57"/>
      <c r="E805" s="58"/>
      <c r="F805" s="57"/>
      <c r="G805" s="59"/>
      <c r="H805" s="59"/>
      <c r="I805" s="59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>
      <c r="A806" s="57"/>
      <c r="B806" s="57"/>
      <c r="C806" s="57"/>
      <c r="D806" s="57"/>
      <c r="E806" s="58"/>
      <c r="F806" s="57"/>
      <c r="G806" s="59"/>
      <c r="H806" s="59"/>
      <c r="I806" s="59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>
      <c r="A807" s="57"/>
      <c r="B807" s="57"/>
      <c r="C807" s="57"/>
      <c r="D807" s="57"/>
      <c r="E807" s="58"/>
      <c r="F807" s="57"/>
      <c r="G807" s="59"/>
      <c r="H807" s="59"/>
      <c r="I807" s="59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>
      <c r="A808" s="57"/>
      <c r="B808" s="57"/>
      <c r="C808" s="57"/>
      <c r="D808" s="57"/>
      <c r="E808" s="58"/>
      <c r="F808" s="57"/>
      <c r="G808" s="59"/>
      <c r="H808" s="59"/>
      <c r="I808" s="59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>
      <c r="A809" s="57"/>
      <c r="B809" s="57"/>
      <c r="C809" s="57"/>
      <c r="D809" s="57"/>
      <c r="E809" s="58"/>
      <c r="F809" s="57"/>
      <c r="G809" s="59"/>
      <c r="H809" s="59"/>
      <c r="I809" s="59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>
      <c r="A810" s="57"/>
      <c r="B810" s="57"/>
      <c r="C810" s="57"/>
      <c r="D810" s="57"/>
      <c r="E810" s="58"/>
      <c r="F810" s="57"/>
      <c r="G810" s="59"/>
      <c r="H810" s="59"/>
      <c r="I810" s="59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>
      <c r="A811" s="57"/>
      <c r="B811" s="57"/>
      <c r="C811" s="57"/>
      <c r="D811" s="57"/>
      <c r="E811" s="58"/>
      <c r="F811" s="57"/>
      <c r="G811" s="59"/>
      <c r="H811" s="59"/>
      <c r="I811" s="59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>
      <c r="A812" s="57"/>
      <c r="B812" s="57"/>
      <c r="C812" s="57"/>
      <c r="D812" s="57"/>
      <c r="E812" s="58"/>
      <c r="F812" s="57"/>
      <c r="G812" s="59"/>
      <c r="H812" s="59"/>
      <c r="I812" s="59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>
      <c r="A813" s="57"/>
      <c r="B813" s="57"/>
      <c r="C813" s="57"/>
      <c r="D813" s="57"/>
      <c r="E813" s="58"/>
      <c r="F813" s="57"/>
      <c r="G813" s="59"/>
      <c r="H813" s="59"/>
      <c r="I813" s="59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>
      <c r="A814" s="57"/>
      <c r="B814" s="57"/>
      <c r="C814" s="57"/>
      <c r="D814" s="57"/>
      <c r="E814" s="58"/>
      <c r="F814" s="57"/>
      <c r="G814" s="59"/>
      <c r="H814" s="59"/>
      <c r="I814" s="59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>
      <c r="A815" s="57"/>
      <c r="B815" s="57"/>
      <c r="C815" s="57"/>
      <c r="D815" s="57"/>
      <c r="E815" s="58"/>
      <c r="F815" s="57"/>
      <c r="G815" s="59"/>
      <c r="H815" s="59"/>
      <c r="I815" s="59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>
      <c r="A816" s="57"/>
      <c r="B816" s="57"/>
      <c r="C816" s="57"/>
      <c r="D816" s="57"/>
      <c r="E816" s="58"/>
      <c r="F816" s="57"/>
      <c r="G816" s="59"/>
      <c r="H816" s="59"/>
      <c r="I816" s="59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>
      <c r="A817" s="57"/>
      <c r="B817" s="57"/>
      <c r="C817" s="57"/>
      <c r="D817" s="57"/>
      <c r="E817" s="58"/>
      <c r="F817" s="57"/>
      <c r="G817" s="59"/>
      <c r="H817" s="59"/>
      <c r="I817" s="59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>
      <c r="A818" s="57"/>
      <c r="B818" s="57"/>
      <c r="C818" s="57"/>
      <c r="D818" s="57"/>
      <c r="E818" s="58"/>
      <c r="F818" s="57"/>
      <c r="G818" s="59"/>
      <c r="H818" s="59"/>
      <c r="I818" s="59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>
      <c r="A819" s="57"/>
      <c r="B819" s="57"/>
      <c r="C819" s="57"/>
      <c r="D819" s="57"/>
      <c r="E819" s="58"/>
      <c r="F819" s="57"/>
      <c r="G819" s="59"/>
      <c r="H819" s="59"/>
      <c r="I819" s="59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>
      <c r="A820" s="57"/>
      <c r="B820" s="57"/>
      <c r="C820" s="57"/>
      <c r="D820" s="57"/>
      <c r="E820" s="58"/>
      <c r="F820" s="57"/>
      <c r="G820" s="59"/>
      <c r="H820" s="59"/>
      <c r="I820" s="59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>
      <c r="A821" s="57"/>
      <c r="B821" s="57"/>
      <c r="C821" s="57"/>
      <c r="D821" s="57"/>
      <c r="E821" s="58"/>
      <c r="F821" s="57"/>
      <c r="G821" s="59"/>
      <c r="H821" s="59"/>
      <c r="I821" s="59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>
      <c r="A822" s="57"/>
      <c r="B822" s="57"/>
      <c r="C822" s="57"/>
      <c r="D822" s="57"/>
      <c r="E822" s="58"/>
      <c r="F822" s="57"/>
      <c r="G822" s="59"/>
      <c r="H822" s="59"/>
      <c r="I822" s="59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>
      <c r="A823" s="57"/>
      <c r="B823" s="57"/>
      <c r="C823" s="57"/>
      <c r="D823" s="57"/>
      <c r="E823" s="58"/>
      <c r="F823" s="57"/>
      <c r="G823" s="59"/>
      <c r="H823" s="59"/>
      <c r="I823" s="59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>
      <c r="A824" s="57"/>
      <c r="B824" s="57"/>
      <c r="C824" s="57"/>
      <c r="D824" s="57"/>
      <c r="E824" s="58"/>
      <c r="F824" s="57"/>
      <c r="G824" s="59"/>
      <c r="H824" s="59"/>
      <c r="I824" s="59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>
      <c r="A825" s="57"/>
      <c r="B825" s="57"/>
      <c r="C825" s="57"/>
      <c r="D825" s="57"/>
      <c r="E825" s="58"/>
      <c r="F825" s="57"/>
      <c r="G825" s="59"/>
      <c r="H825" s="59"/>
      <c r="I825" s="59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>
      <c r="A826" s="57"/>
      <c r="B826" s="57"/>
      <c r="C826" s="57"/>
      <c r="D826" s="57"/>
      <c r="E826" s="58"/>
      <c r="F826" s="57"/>
      <c r="G826" s="59"/>
      <c r="H826" s="59"/>
      <c r="I826" s="59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>
      <c r="A827" s="57"/>
      <c r="B827" s="57"/>
      <c r="C827" s="57"/>
      <c r="D827" s="57"/>
      <c r="E827" s="58"/>
      <c r="F827" s="57"/>
      <c r="G827" s="59"/>
      <c r="H827" s="59"/>
      <c r="I827" s="59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>
      <c r="A828" s="57"/>
      <c r="B828" s="57"/>
      <c r="C828" s="57"/>
      <c r="D828" s="57"/>
      <c r="E828" s="58"/>
      <c r="F828" s="57"/>
      <c r="G828" s="59"/>
      <c r="H828" s="59"/>
      <c r="I828" s="59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>
      <c r="A829" s="57"/>
      <c r="B829" s="57"/>
      <c r="C829" s="57"/>
      <c r="D829" s="57"/>
      <c r="E829" s="58"/>
      <c r="F829" s="57"/>
      <c r="G829" s="59"/>
      <c r="H829" s="59"/>
      <c r="I829" s="59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>
      <c r="A830" s="57"/>
      <c r="B830" s="57"/>
      <c r="C830" s="57"/>
      <c r="D830" s="57"/>
      <c r="E830" s="58"/>
      <c r="F830" s="57"/>
      <c r="G830" s="59"/>
      <c r="H830" s="59"/>
      <c r="I830" s="59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>
      <c r="A831" s="57"/>
      <c r="B831" s="57"/>
      <c r="C831" s="57"/>
      <c r="D831" s="57"/>
      <c r="E831" s="58"/>
      <c r="F831" s="57"/>
      <c r="G831" s="59"/>
      <c r="H831" s="59"/>
      <c r="I831" s="59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>
      <c r="A832" s="57"/>
      <c r="B832" s="57"/>
      <c r="C832" s="57"/>
      <c r="D832" s="57"/>
      <c r="E832" s="58"/>
      <c r="F832" s="57"/>
      <c r="G832" s="59"/>
      <c r="H832" s="59"/>
      <c r="I832" s="59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>
      <c r="A833" s="57"/>
      <c r="B833" s="57"/>
      <c r="C833" s="57"/>
      <c r="D833" s="57"/>
      <c r="E833" s="58"/>
      <c r="F833" s="57"/>
      <c r="G833" s="59"/>
      <c r="H833" s="59"/>
      <c r="I833" s="59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>
      <c r="A834" s="57"/>
      <c r="B834" s="57"/>
      <c r="C834" s="57"/>
      <c r="D834" s="57"/>
      <c r="E834" s="58"/>
      <c r="F834" s="57"/>
      <c r="G834" s="59"/>
      <c r="H834" s="59"/>
      <c r="I834" s="59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>
      <c r="A835" s="57"/>
      <c r="B835" s="57"/>
      <c r="C835" s="57"/>
      <c r="D835" s="57"/>
      <c r="E835" s="58"/>
      <c r="F835" s="57"/>
      <c r="G835" s="59"/>
      <c r="H835" s="59"/>
      <c r="I835" s="59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>
      <c r="A836" s="57"/>
      <c r="B836" s="57"/>
      <c r="C836" s="57"/>
      <c r="D836" s="57"/>
      <c r="E836" s="58"/>
      <c r="F836" s="57"/>
      <c r="G836" s="59"/>
      <c r="H836" s="59"/>
      <c r="I836" s="59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>
      <c r="A837" s="57"/>
      <c r="B837" s="57"/>
      <c r="C837" s="57"/>
      <c r="D837" s="57"/>
      <c r="E837" s="58"/>
      <c r="F837" s="57"/>
      <c r="G837" s="59"/>
      <c r="H837" s="59"/>
      <c r="I837" s="59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>
      <c r="A838" s="57"/>
      <c r="B838" s="57"/>
      <c r="C838" s="57"/>
      <c r="D838" s="57"/>
      <c r="E838" s="58"/>
      <c r="F838" s="57"/>
      <c r="G838" s="59"/>
      <c r="H838" s="59"/>
      <c r="I838" s="59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>
      <c r="A839" s="57"/>
      <c r="B839" s="57"/>
      <c r="C839" s="57"/>
      <c r="D839" s="57"/>
      <c r="E839" s="58"/>
      <c r="F839" s="57"/>
      <c r="G839" s="59"/>
      <c r="H839" s="59"/>
      <c r="I839" s="59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>
      <c r="A840" s="57"/>
      <c r="B840" s="57"/>
      <c r="C840" s="57"/>
      <c r="D840" s="57"/>
      <c r="E840" s="58"/>
      <c r="F840" s="57"/>
      <c r="G840" s="59"/>
      <c r="H840" s="59"/>
      <c r="I840" s="59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>
      <c r="A841" s="57"/>
      <c r="B841" s="57"/>
      <c r="C841" s="57"/>
      <c r="D841" s="57"/>
      <c r="E841" s="58"/>
      <c r="F841" s="57"/>
      <c r="G841" s="59"/>
      <c r="H841" s="59"/>
      <c r="I841" s="59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>
      <c r="A842" s="57"/>
      <c r="B842" s="57"/>
      <c r="C842" s="57"/>
      <c r="D842" s="57"/>
      <c r="E842" s="58"/>
      <c r="F842" s="57"/>
      <c r="G842" s="59"/>
      <c r="H842" s="59"/>
      <c r="I842" s="59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>
      <c r="A843" s="57"/>
      <c r="B843" s="57"/>
      <c r="C843" s="57"/>
      <c r="D843" s="57"/>
      <c r="E843" s="58"/>
      <c r="F843" s="57"/>
      <c r="G843" s="59"/>
      <c r="H843" s="59"/>
      <c r="I843" s="59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>
      <c r="A844" s="57"/>
      <c r="B844" s="57"/>
      <c r="C844" s="57"/>
      <c r="D844" s="57"/>
      <c r="E844" s="58"/>
      <c r="F844" s="57"/>
      <c r="G844" s="59"/>
      <c r="H844" s="59"/>
      <c r="I844" s="59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>
      <c r="A845" s="57"/>
      <c r="B845" s="57"/>
      <c r="C845" s="57"/>
      <c r="D845" s="57"/>
      <c r="E845" s="58"/>
      <c r="F845" s="57"/>
      <c r="G845" s="59"/>
      <c r="H845" s="59"/>
      <c r="I845" s="59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>
      <c r="A846" s="57"/>
      <c r="B846" s="57"/>
      <c r="C846" s="57"/>
      <c r="D846" s="57"/>
      <c r="E846" s="58"/>
      <c r="F846" s="57"/>
      <c r="G846" s="59"/>
      <c r="H846" s="59"/>
      <c r="I846" s="59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>
      <c r="A847" s="57"/>
      <c r="B847" s="57"/>
      <c r="C847" s="57"/>
      <c r="D847" s="57"/>
      <c r="E847" s="58"/>
      <c r="F847" s="57"/>
      <c r="G847" s="59"/>
      <c r="H847" s="59"/>
      <c r="I847" s="59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>
      <c r="A848" s="57"/>
      <c r="B848" s="57"/>
      <c r="C848" s="57"/>
      <c r="D848" s="57"/>
      <c r="E848" s="58"/>
      <c r="F848" s="57"/>
      <c r="G848" s="59"/>
      <c r="H848" s="59"/>
      <c r="I848" s="59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>
      <c r="A849" s="57"/>
      <c r="B849" s="57"/>
      <c r="C849" s="57"/>
      <c r="D849" s="57"/>
      <c r="E849" s="58"/>
      <c r="F849" s="57"/>
      <c r="G849" s="59"/>
      <c r="H849" s="59"/>
      <c r="I849" s="59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>
      <c r="A850" s="57"/>
      <c r="B850" s="57"/>
      <c r="C850" s="57"/>
      <c r="D850" s="57"/>
      <c r="E850" s="58"/>
      <c r="F850" s="57"/>
      <c r="G850" s="59"/>
      <c r="H850" s="59"/>
      <c r="I850" s="59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>
      <c r="A851" s="57"/>
      <c r="B851" s="57"/>
      <c r="C851" s="57"/>
      <c r="D851" s="57"/>
      <c r="E851" s="58"/>
      <c r="F851" s="57"/>
      <c r="G851" s="59"/>
      <c r="H851" s="59"/>
      <c r="I851" s="59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>
      <c r="A852" s="57"/>
      <c r="B852" s="57"/>
      <c r="C852" s="57"/>
      <c r="D852" s="57"/>
      <c r="E852" s="58"/>
      <c r="F852" s="57"/>
      <c r="G852" s="59"/>
      <c r="H852" s="59"/>
      <c r="I852" s="59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>
      <c r="A853" s="57"/>
      <c r="B853" s="57"/>
      <c r="C853" s="57"/>
      <c r="D853" s="57"/>
      <c r="E853" s="58"/>
      <c r="F853" s="57"/>
      <c r="G853" s="59"/>
      <c r="H853" s="59"/>
      <c r="I853" s="59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>
      <c r="A854" s="57"/>
      <c r="B854" s="57"/>
      <c r="C854" s="57"/>
      <c r="D854" s="57"/>
      <c r="E854" s="58"/>
      <c r="F854" s="57"/>
      <c r="G854" s="59"/>
      <c r="H854" s="59"/>
      <c r="I854" s="59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>
      <c r="A855" s="57"/>
      <c r="B855" s="57"/>
      <c r="C855" s="57"/>
      <c r="D855" s="57"/>
      <c r="E855" s="58"/>
      <c r="F855" s="57"/>
      <c r="G855" s="59"/>
      <c r="H855" s="59"/>
      <c r="I855" s="59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>
      <c r="A856" s="57"/>
      <c r="B856" s="57"/>
      <c r="C856" s="57"/>
      <c r="D856" s="57"/>
      <c r="E856" s="58"/>
      <c r="F856" s="57"/>
      <c r="G856" s="59"/>
      <c r="H856" s="59"/>
      <c r="I856" s="59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>
      <c r="A857" s="57"/>
      <c r="B857" s="57"/>
      <c r="C857" s="57"/>
      <c r="D857" s="57"/>
      <c r="E857" s="58"/>
      <c r="F857" s="57"/>
      <c r="G857" s="59"/>
      <c r="H857" s="59"/>
      <c r="I857" s="59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>
      <c r="A858" s="57"/>
      <c r="B858" s="57"/>
      <c r="C858" s="57"/>
      <c r="D858" s="57"/>
      <c r="E858" s="58"/>
      <c r="F858" s="57"/>
      <c r="G858" s="59"/>
      <c r="H858" s="59"/>
      <c r="I858" s="59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>
      <c r="A859" s="57"/>
      <c r="B859" s="57"/>
      <c r="C859" s="57"/>
      <c r="D859" s="57"/>
      <c r="E859" s="58"/>
      <c r="F859" s="57"/>
      <c r="G859" s="59"/>
      <c r="H859" s="59"/>
      <c r="I859" s="59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>
      <c r="A860" s="57"/>
      <c r="B860" s="57"/>
      <c r="C860" s="57"/>
      <c r="D860" s="57"/>
      <c r="E860" s="58"/>
      <c r="F860" s="57"/>
      <c r="G860" s="59"/>
      <c r="H860" s="59"/>
      <c r="I860" s="59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>
      <c r="A861" s="57"/>
      <c r="B861" s="57"/>
      <c r="C861" s="57"/>
      <c r="D861" s="57"/>
      <c r="E861" s="58"/>
      <c r="F861" s="57"/>
      <c r="G861" s="59"/>
      <c r="H861" s="59"/>
      <c r="I861" s="59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>
      <c r="A862" s="57"/>
      <c r="B862" s="57"/>
      <c r="C862" s="57"/>
      <c r="D862" s="57"/>
      <c r="E862" s="58"/>
      <c r="F862" s="57"/>
      <c r="G862" s="59"/>
      <c r="H862" s="59"/>
      <c r="I862" s="59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>
      <c r="A863" s="57"/>
      <c r="B863" s="57"/>
      <c r="C863" s="57"/>
      <c r="D863" s="57"/>
      <c r="E863" s="58"/>
      <c r="F863" s="57"/>
      <c r="G863" s="59"/>
      <c r="H863" s="59"/>
      <c r="I863" s="59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>
      <c r="A864" s="57"/>
      <c r="B864" s="57"/>
      <c r="C864" s="57"/>
      <c r="D864" s="57"/>
      <c r="E864" s="58"/>
      <c r="F864" s="57"/>
      <c r="G864" s="59"/>
      <c r="H864" s="59"/>
      <c r="I864" s="59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>
      <c r="A865" s="57"/>
      <c r="B865" s="57"/>
      <c r="C865" s="57"/>
      <c r="D865" s="57"/>
      <c r="E865" s="58"/>
      <c r="F865" s="57"/>
      <c r="G865" s="59"/>
      <c r="H865" s="59"/>
      <c r="I865" s="59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>
      <c r="A866" s="57"/>
      <c r="B866" s="57"/>
      <c r="C866" s="57"/>
      <c r="D866" s="57"/>
      <c r="E866" s="58"/>
      <c r="F866" s="57"/>
      <c r="G866" s="59"/>
      <c r="H866" s="59"/>
      <c r="I866" s="59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>
      <c r="A867" s="57"/>
      <c r="B867" s="57"/>
      <c r="C867" s="57"/>
      <c r="D867" s="57"/>
      <c r="E867" s="58"/>
      <c r="F867" s="57"/>
      <c r="G867" s="59"/>
      <c r="H867" s="59"/>
      <c r="I867" s="59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>
      <c r="A868" s="57"/>
      <c r="B868" s="57"/>
      <c r="C868" s="57"/>
      <c r="D868" s="57"/>
      <c r="E868" s="58"/>
      <c r="F868" s="57"/>
      <c r="G868" s="59"/>
      <c r="H868" s="59"/>
      <c r="I868" s="59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>
      <c r="A869" s="57"/>
      <c r="B869" s="57"/>
      <c r="C869" s="57"/>
      <c r="D869" s="57"/>
      <c r="E869" s="58"/>
      <c r="F869" s="57"/>
      <c r="G869" s="59"/>
      <c r="H869" s="59"/>
      <c r="I869" s="59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>
      <c r="A870" s="57"/>
      <c r="B870" s="57"/>
      <c r="C870" s="57"/>
      <c r="D870" s="57"/>
      <c r="E870" s="58"/>
      <c r="F870" s="57"/>
      <c r="G870" s="59"/>
      <c r="H870" s="59"/>
      <c r="I870" s="59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>
      <c r="A871" s="57"/>
      <c r="B871" s="57"/>
      <c r="C871" s="57"/>
      <c r="D871" s="57"/>
      <c r="E871" s="58"/>
      <c r="F871" s="57"/>
      <c r="G871" s="59"/>
      <c r="H871" s="59"/>
      <c r="I871" s="59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>
      <c r="A872" s="57"/>
      <c r="B872" s="57"/>
      <c r="C872" s="57"/>
      <c r="D872" s="57"/>
      <c r="E872" s="58"/>
      <c r="F872" s="57"/>
      <c r="G872" s="59"/>
      <c r="H872" s="59"/>
      <c r="I872" s="59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>
      <c r="A873" s="57"/>
      <c r="B873" s="57"/>
      <c r="C873" s="57"/>
      <c r="D873" s="57"/>
      <c r="E873" s="58"/>
      <c r="F873" s="57"/>
      <c r="G873" s="59"/>
      <c r="H873" s="59"/>
      <c r="I873" s="59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>
      <c r="A874" s="57"/>
      <c r="B874" s="57"/>
      <c r="C874" s="57"/>
      <c r="D874" s="57"/>
      <c r="E874" s="58"/>
      <c r="F874" s="57"/>
      <c r="G874" s="59"/>
      <c r="H874" s="59"/>
      <c r="I874" s="59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>
      <c r="A875" s="57"/>
      <c r="B875" s="57"/>
      <c r="C875" s="57"/>
      <c r="D875" s="57"/>
      <c r="E875" s="58"/>
      <c r="F875" s="57"/>
      <c r="G875" s="59"/>
      <c r="H875" s="59"/>
      <c r="I875" s="59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>
      <c r="A876" s="57"/>
      <c r="B876" s="57"/>
      <c r="C876" s="57"/>
      <c r="D876" s="57"/>
      <c r="E876" s="58"/>
      <c r="F876" s="57"/>
      <c r="G876" s="59"/>
      <c r="H876" s="59"/>
      <c r="I876" s="59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>
      <c r="A877" s="57"/>
      <c r="B877" s="57"/>
      <c r="C877" s="57"/>
      <c r="D877" s="57"/>
      <c r="E877" s="58"/>
      <c r="F877" s="57"/>
      <c r="G877" s="59"/>
      <c r="H877" s="59"/>
      <c r="I877" s="59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>
      <c r="A878" s="57"/>
      <c r="B878" s="57"/>
      <c r="C878" s="57"/>
      <c r="D878" s="57"/>
      <c r="E878" s="58"/>
      <c r="F878" s="57"/>
      <c r="G878" s="59"/>
      <c r="H878" s="59"/>
      <c r="I878" s="59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>
      <c r="A879" s="57"/>
      <c r="B879" s="57"/>
      <c r="C879" s="57"/>
      <c r="D879" s="57"/>
      <c r="E879" s="58"/>
      <c r="F879" s="57"/>
      <c r="G879" s="59"/>
      <c r="H879" s="59"/>
      <c r="I879" s="59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>
      <c r="A880" s="57"/>
      <c r="B880" s="57"/>
      <c r="C880" s="57"/>
      <c r="D880" s="57"/>
      <c r="E880" s="58"/>
      <c r="F880" s="57"/>
      <c r="G880" s="59"/>
      <c r="H880" s="59"/>
      <c r="I880" s="59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>
      <c r="A881" s="57"/>
      <c r="B881" s="57"/>
      <c r="C881" s="57"/>
      <c r="D881" s="57"/>
      <c r="E881" s="58"/>
      <c r="F881" s="57"/>
      <c r="G881" s="59"/>
      <c r="H881" s="59"/>
      <c r="I881" s="59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>
      <c r="A882" s="57"/>
      <c r="B882" s="57"/>
      <c r="C882" s="57"/>
      <c r="D882" s="57"/>
      <c r="E882" s="58"/>
      <c r="F882" s="57"/>
      <c r="G882" s="59"/>
      <c r="H882" s="59"/>
      <c r="I882" s="59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>
      <c r="A883" s="57"/>
      <c r="B883" s="57"/>
      <c r="C883" s="57"/>
      <c r="D883" s="57"/>
      <c r="E883" s="58"/>
      <c r="F883" s="57"/>
      <c r="G883" s="59"/>
      <c r="H883" s="59"/>
      <c r="I883" s="59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>
      <c r="A884" s="57"/>
      <c r="B884" s="57"/>
      <c r="C884" s="57"/>
      <c r="D884" s="57"/>
      <c r="E884" s="58"/>
      <c r="F884" s="57"/>
      <c r="G884" s="59"/>
      <c r="H884" s="59"/>
      <c r="I884" s="59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>
      <c r="A885" s="57"/>
      <c r="B885" s="57"/>
      <c r="C885" s="57"/>
      <c r="D885" s="57"/>
      <c r="E885" s="58"/>
      <c r="F885" s="57"/>
      <c r="G885" s="59"/>
      <c r="H885" s="59"/>
      <c r="I885" s="59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>
      <c r="A886" s="57"/>
      <c r="B886" s="57"/>
      <c r="C886" s="57"/>
      <c r="D886" s="57"/>
      <c r="E886" s="58"/>
      <c r="F886" s="57"/>
      <c r="G886" s="59"/>
      <c r="H886" s="59"/>
      <c r="I886" s="59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>
      <c r="A887" s="57"/>
      <c r="B887" s="57"/>
      <c r="C887" s="57"/>
      <c r="D887" s="57"/>
      <c r="E887" s="58"/>
      <c r="F887" s="57"/>
      <c r="G887" s="59"/>
      <c r="H887" s="59"/>
      <c r="I887" s="59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>
      <c r="A888" s="57"/>
      <c r="B888" s="57"/>
      <c r="C888" s="57"/>
      <c r="D888" s="57"/>
      <c r="E888" s="58"/>
      <c r="F888" s="57"/>
      <c r="G888" s="59"/>
      <c r="H888" s="59"/>
      <c r="I888" s="59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>
      <c r="A889" s="57"/>
      <c r="B889" s="57"/>
      <c r="C889" s="57"/>
      <c r="D889" s="57"/>
      <c r="E889" s="58"/>
      <c r="F889" s="57"/>
      <c r="G889" s="59"/>
      <c r="H889" s="59"/>
      <c r="I889" s="59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>
      <c r="A890" s="57"/>
      <c r="B890" s="57"/>
      <c r="C890" s="57"/>
      <c r="D890" s="57"/>
      <c r="E890" s="58"/>
      <c r="F890" s="57"/>
      <c r="G890" s="59"/>
      <c r="H890" s="59"/>
      <c r="I890" s="59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>
      <c r="A891" s="57"/>
      <c r="B891" s="57"/>
      <c r="C891" s="57"/>
      <c r="D891" s="57"/>
      <c r="E891" s="58"/>
      <c r="F891" s="57"/>
      <c r="G891" s="59"/>
      <c r="H891" s="59"/>
      <c r="I891" s="59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>
      <c r="A892" s="57"/>
      <c r="B892" s="57"/>
      <c r="C892" s="57"/>
      <c r="D892" s="57"/>
      <c r="E892" s="58"/>
      <c r="F892" s="57"/>
      <c r="G892" s="59"/>
      <c r="H892" s="59"/>
      <c r="I892" s="59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>
      <c r="A893" s="57"/>
      <c r="B893" s="57"/>
      <c r="C893" s="57"/>
      <c r="D893" s="57"/>
      <c r="E893" s="58"/>
      <c r="F893" s="57"/>
      <c r="G893" s="59"/>
      <c r="H893" s="59"/>
      <c r="I893" s="59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>
      <c r="A894" s="57"/>
      <c r="B894" s="57"/>
      <c r="C894" s="57"/>
      <c r="D894" s="57"/>
      <c r="E894" s="58"/>
      <c r="F894" s="57"/>
      <c r="G894" s="59"/>
      <c r="H894" s="59"/>
      <c r="I894" s="59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>
      <c r="A895" s="57"/>
      <c r="B895" s="57"/>
      <c r="C895" s="57"/>
      <c r="D895" s="57"/>
      <c r="E895" s="58"/>
      <c r="F895" s="57"/>
      <c r="G895" s="59"/>
      <c r="H895" s="59"/>
      <c r="I895" s="59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>
      <c r="A896" s="57"/>
      <c r="B896" s="57"/>
      <c r="C896" s="57"/>
      <c r="D896" s="57"/>
      <c r="E896" s="58"/>
      <c r="F896" s="57"/>
      <c r="G896" s="59"/>
      <c r="H896" s="59"/>
      <c r="I896" s="59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>
      <c r="A897" s="57"/>
      <c r="B897" s="57"/>
      <c r="C897" s="57"/>
      <c r="D897" s="57"/>
      <c r="E897" s="58"/>
      <c r="F897" s="57"/>
      <c r="G897" s="59"/>
      <c r="H897" s="59"/>
      <c r="I897" s="59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>
      <c r="A898" s="57"/>
      <c r="B898" s="57"/>
      <c r="C898" s="57"/>
      <c r="D898" s="57"/>
      <c r="E898" s="58"/>
      <c r="F898" s="57"/>
      <c r="G898" s="59"/>
      <c r="H898" s="59"/>
      <c r="I898" s="59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>
      <c r="A899" s="57"/>
      <c r="B899" s="57"/>
      <c r="C899" s="57"/>
      <c r="D899" s="57"/>
      <c r="E899" s="58"/>
      <c r="F899" s="57"/>
      <c r="G899" s="59"/>
      <c r="H899" s="59"/>
      <c r="I899" s="59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>
      <c r="A900" s="57"/>
      <c r="B900" s="57"/>
      <c r="C900" s="57"/>
      <c r="D900" s="57"/>
      <c r="E900" s="58"/>
      <c r="F900" s="57"/>
      <c r="G900" s="59"/>
      <c r="H900" s="59"/>
      <c r="I900" s="59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>
      <c r="A901" s="57"/>
      <c r="B901" s="57"/>
      <c r="C901" s="57"/>
      <c r="D901" s="57"/>
      <c r="E901" s="58"/>
      <c r="F901" s="57"/>
      <c r="G901" s="59"/>
      <c r="H901" s="59"/>
      <c r="I901" s="59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>
      <c r="A902" s="57"/>
      <c r="B902" s="57"/>
      <c r="C902" s="57"/>
      <c r="D902" s="57"/>
      <c r="E902" s="58"/>
      <c r="F902" s="57"/>
      <c r="G902" s="59"/>
      <c r="H902" s="59"/>
      <c r="I902" s="59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>
      <c r="A903" s="57"/>
      <c r="B903" s="57"/>
      <c r="C903" s="57"/>
      <c r="D903" s="57"/>
      <c r="E903" s="58"/>
      <c r="F903" s="57"/>
      <c r="G903" s="59"/>
      <c r="H903" s="59"/>
      <c r="I903" s="59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>
      <c r="A904" s="57"/>
      <c r="B904" s="57"/>
      <c r="C904" s="57"/>
      <c r="D904" s="57"/>
      <c r="E904" s="58"/>
      <c r="F904" s="57"/>
      <c r="G904" s="59"/>
      <c r="H904" s="59"/>
      <c r="I904" s="59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>
      <c r="A905" s="57"/>
      <c r="B905" s="57"/>
      <c r="C905" s="57"/>
      <c r="D905" s="57"/>
      <c r="E905" s="58"/>
      <c r="F905" s="57"/>
      <c r="G905" s="59"/>
      <c r="H905" s="59"/>
      <c r="I905" s="59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>
      <c r="A906" s="57"/>
      <c r="B906" s="57"/>
      <c r="C906" s="57"/>
      <c r="D906" s="57"/>
      <c r="E906" s="58"/>
      <c r="F906" s="57"/>
      <c r="G906" s="59"/>
      <c r="H906" s="59"/>
      <c r="I906" s="59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>
      <c r="A907" s="57"/>
      <c r="B907" s="57"/>
      <c r="C907" s="57"/>
      <c r="D907" s="57"/>
      <c r="E907" s="58"/>
      <c r="F907" s="57"/>
      <c r="G907" s="59"/>
      <c r="H907" s="59"/>
      <c r="I907" s="59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>
      <c r="A908" s="57"/>
      <c r="B908" s="57"/>
      <c r="C908" s="57"/>
      <c r="D908" s="57"/>
      <c r="E908" s="58"/>
      <c r="F908" s="57"/>
      <c r="G908" s="59"/>
      <c r="H908" s="59"/>
      <c r="I908" s="59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>
      <c r="A909" s="57"/>
      <c r="B909" s="57"/>
      <c r="C909" s="57"/>
      <c r="D909" s="57"/>
      <c r="E909" s="58"/>
      <c r="F909" s="57"/>
      <c r="G909" s="59"/>
      <c r="H909" s="59"/>
      <c r="I909" s="59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>
      <c r="A910" s="57"/>
      <c r="B910" s="57"/>
      <c r="C910" s="57"/>
      <c r="D910" s="57"/>
      <c r="E910" s="58"/>
      <c r="F910" s="57"/>
      <c r="G910" s="59"/>
      <c r="H910" s="59"/>
      <c r="I910" s="59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>
      <c r="A911" s="57"/>
      <c r="B911" s="57"/>
      <c r="C911" s="57"/>
      <c r="D911" s="57"/>
      <c r="E911" s="58"/>
      <c r="F911" s="57"/>
      <c r="G911" s="59"/>
      <c r="H911" s="59"/>
      <c r="I911" s="59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>
      <c r="A912" s="57"/>
      <c r="B912" s="57"/>
      <c r="C912" s="57"/>
      <c r="D912" s="57"/>
      <c r="E912" s="58"/>
      <c r="F912" s="57"/>
      <c r="G912" s="59"/>
      <c r="H912" s="59"/>
      <c r="I912" s="59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>
      <c r="A913" s="57"/>
      <c r="B913" s="57"/>
      <c r="C913" s="57"/>
      <c r="D913" s="57"/>
      <c r="E913" s="58"/>
      <c r="F913" s="57"/>
      <c r="G913" s="59"/>
      <c r="H913" s="59"/>
      <c r="I913" s="59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>
      <c r="A914" s="57"/>
      <c r="B914" s="57"/>
      <c r="C914" s="57"/>
      <c r="D914" s="57"/>
      <c r="E914" s="58"/>
      <c r="F914" s="57"/>
      <c r="G914" s="59"/>
      <c r="H914" s="59"/>
      <c r="I914" s="59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>
      <c r="A915" s="57"/>
      <c r="B915" s="57"/>
      <c r="C915" s="57"/>
      <c r="D915" s="57"/>
      <c r="E915" s="58"/>
      <c r="F915" s="57"/>
      <c r="G915" s="59"/>
      <c r="H915" s="59"/>
      <c r="I915" s="59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>
      <c r="A916" s="57"/>
      <c r="B916" s="57"/>
      <c r="C916" s="57"/>
      <c r="D916" s="57"/>
      <c r="E916" s="58"/>
      <c r="F916" s="57"/>
      <c r="G916" s="59"/>
      <c r="H916" s="59"/>
      <c r="I916" s="59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>
      <c r="A917" s="57"/>
      <c r="B917" s="57"/>
      <c r="C917" s="57"/>
      <c r="D917" s="57"/>
      <c r="E917" s="58"/>
      <c r="F917" s="57"/>
      <c r="G917" s="59"/>
      <c r="H917" s="59"/>
      <c r="I917" s="59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>
      <c r="A918" s="57"/>
      <c r="B918" s="57"/>
      <c r="C918" s="57"/>
      <c r="D918" s="57"/>
      <c r="E918" s="58"/>
      <c r="F918" s="57"/>
      <c r="G918" s="59"/>
      <c r="H918" s="59"/>
      <c r="I918" s="59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>
      <c r="A919" s="57"/>
      <c r="B919" s="57"/>
      <c r="C919" s="57"/>
      <c r="D919" s="57"/>
      <c r="E919" s="58"/>
      <c r="F919" s="57"/>
      <c r="G919" s="59"/>
      <c r="H919" s="59"/>
      <c r="I919" s="59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>
      <c r="A920" s="57"/>
      <c r="B920" s="57"/>
      <c r="C920" s="57"/>
      <c r="D920" s="57"/>
      <c r="E920" s="58"/>
      <c r="F920" s="57"/>
      <c r="G920" s="59"/>
      <c r="H920" s="59"/>
      <c r="I920" s="59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>
      <c r="A921" s="57"/>
      <c r="B921" s="57"/>
      <c r="C921" s="57"/>
      <c r="D921" s="57"/>
      <c r="E921" s="58"/>
      <c r="F921" s="57"/>
      <c r="G921" s="59"/>
      <c r="H921" s="59"/>
      <c r="I921" s="59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>
      <c r="A922" s="57"/>
      <c r="B922" s="57"/>
      <c r="C922" s="57"/>
      <c r="D922" s="57"/>
      <c r="E922" s="58"/>
      <c r="F922" s="57"/>
      <c r="G922" s="59"/>
      <c r="H922" s="59"/>
      <c r="I922" s="59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>
      <c r="A923" s="57"/>
      <c r="B923" s="57"/>
      <c r="C923" s="57"/>
      <c r="D923" s="57"/>
      <c r="E923" s="58"/>
      <c r="F923" s="57"/>
      <c r="G923" s="59"/>
      <c r="H923" s="59"/>
      <c r="I923" s="59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>
      <c r="A924" s="57"/>
      <c r="B924" s="57"/>
      <c r="C924" s="57"/>
      <c r="D924" s="57"/>
      <c r="E924" s="58"/>
      <c r="F924" s="57"/>
      <c r="G924" s="59"/>
      <c r="H924" s="59"/>
      <c r="I924" s="59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>
      <c r="A925" s="57"/>
      <c r="B925" s="57"/>
      <c r="C925" s="57"/>
      <c r="D925" s="57"/>
      <c r="E925" s="58"/>
      <c r="F925" s="57"/>
      <c r="G925" s="59"/>
      <c r="H925" s="59"/>
      <c r="I925" s="59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>
      <c r="A926" s="57"/>
      <c r="B926" s="57"/>
      <c r="C926" s="57"/>
      <c r="D926" s="57"/>
      <c r="E926" s="58"/>
      <c r="F926" s="57"/>
      <c r="G926" s="59"/>
      <c r="H926" s="59"/>
      <c r="I926" s="59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>
      <c r="A927" s="57"/>
      <c r="B927" s="57"/>
      <c r="C927" s="57"/>
      <c r="D927" s="57"/>
      <c r="E927" s="58"/>
      <c r="F927" s="57"/>
      <c r="G927" s="59"/>
      <c r="H927" s="59"/>
      <c r="I927" s="59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>
      <c r="A928" s="57"/>
      <c r="B928" s="57"/>
      <c r="C928" s="57"/>
      <c r="D928" s="57"/>
      <c r="E928" s="58"/>
      <c r="F928" s="57"/>
      <c r="G928" s="59"/>
      <c r="H928" s="59"/>
      <c r="I928" s="59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>
      <c r="A929" s="57"/>
      <c r="B929" s="57"/>
      <c r="C929" s="57"/>
      <c r="D929" s="57"/>
      <c r="E929" s="58"/>
      <c r="F929" s="57"/>
      <c r="G929" s="59"/>
      <c r="H929" s="59"/>
      <c r="I929" s="59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>
      <c r="A930" s="57"/>
      <c r="B930" s="57"/>
      <c r="C930" s="57"/>
      <c r="D930" s="57"/>
      <c r="E930" s="58"/>
      <c r="F930" s="57"/>
      <c r="G930" s="59"/>
      <c r="H930" s="59"/>
      <c r="I930" s="59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>
      <c r="A931" s="57"/>
      <c r="B931" s="57"/>
      <c r="C931" s="57"/>
      <c r="D931" s="57"/>
      <c r="E931" s="58"/>
      <c r="F931" s="57"/>
      <c r="G931" s="59"/>
      <c r="H931" s="59"/>
      <c r="I931" s="59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>
      <c r="A932" s="57"/>
      <c r="B932" s="57"/>
      <c r="C932" s="57"/>
      <c r="D932" s="57"/>
      <c r="E932" s="58"/>
      <c r="F932" s="57"/>
      <c r="G932" s="59"/>
      <c r="H932" s="59"/>
      <c r="I932" s="59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>
      <c r="A933" s="57"/>
      <c r="B933" s="57"/>
      <c r="C933" s="57"/>
      <c r="D933" s="57"/>
      <c r="E933" s="58"/>
      <c r="F933" s="57"/>
      <c r="G933" s="59"/>
      <c r="H933" s="59"/>
      <c r="I933" s="59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>
      <c r="A934" s="57"/>
      <c r="B934" s="57"/>
      <c r="C934" s="57"/>
      <c r="D934" s="57"/>
      <c r="E934" s="58"/>
      <c r="F934" s="57"/>
      <c r="G934" s="59"/>
      <c r="H934" s="59"/>
      <c r="I934" s="59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>
      <c r="A935" s="57"/>
      <c r="B935" s="57"/>
      <c r="C935" s="57"/>
      <c r="D935" s="57"/>
      <c r="E935" s="58"/>
      <c r="F935" s="57"/>
      <c r="G935" s="59"/>
      <c r="H935" s="59"/>
      <c r="I935" s="59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>
      <c r="A936" s="57"/>
      <c r="B936" s="57"/>
      <c r="C936" s="57"/>
      <c r="D936" s="57"/>
      <c r="E936" s="58"/>
      <c r="F936" s="57"/>
      <c r="G936" s="59"/>
      <c r="H936" s="59"/>
      <c r="I936" s="59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>
      <c r="A937" s="57"/>
      <c r="B937" s="57"/>
      <c r="C937" s="57"/>
      <c r="D937" s="57"/>
      <c r="E937" s="58"/>
      <c r="F937" s="57"/>
      <c r="G937" s="59"/>
      <c r="H937" s="59"/>
      <c r="I937" s="59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>
      <c r="A938" s="57"/>
      <c r="B938" s="57"/>
      <c r="C938" s="57"/>
      <c r="D938" s="57"/>
      <c r="E938" s="58"/>
      <c r="F938" s="57"/>
      <c r="G938" s="59"/>
      <c r="H938" s="59"/>
      <c r="I938" s="59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>
      <c r="A939" s="57"/>
      <c r="B939" s="57"/>
      <c r="C939" s="57"/>
      <c r="D939" s="57"/>
      <c r="E939" s="58"/>
      <c r="F939" s="57"/>
      <c r="G939" s="59"/>
      <c r="H939" s="59"/>
      <c r="I939" s="59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>
      <c r="A940" s="57"/>
      <c r="B940" s="57"/>
      <c r="C940" s="57"/>
      <c r="D940" s="57"/>
      <c r="E940" s="58"/>
      <c r="F940" s="57"/>
      <c r="G940" s="59"/>
      <c r="H940" s="59"/>
      <c r="I940" s="59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>
      <c r="A941" s="57"/>
      <c r="B941" s="57"/>
      <c r="C941" s="57"/>
      <c r="D941" s="57"/>
      <c r="E941" s="58"/>
      <c r="F941" s="57"/>
      <c r="G941" s="59"/>
      <c r="H941" s="59"/>
      <c r="I941" s="59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>
      <c r="A942" s="57"/>
      <c r="B942" s="57"/>
      <c r="C942" s="57"/>
      <c r="D942" s="57"/>
      <c r="E942" s="58"/>
      <c r="F942" s="57"/>
      <c r="G942" s="59"/>
      <c r="H942" s="59"/>
      <c r="I942" s="59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>
      <c r="A943" s="57"/>
      <c r="B943" s="57"/>
      <c r="C943" s="57"/>
      <c r="D943" s="57"/>
      <c r="E943" s="58"/>
      <c r="F943" s="57"/>
      <c r="G943" s="59"/>
      <c r="H943" s="59"/>
      <c r="I943" s="59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>
      <c r="A944" s="57"/>
      <c r="B944" s="57"/>
      <c r="C944" s="57"/>
      <c r="D944" s="57"/>
      <c r="E944" s="58"/>
      <c r="F944" s="57"/>
      <c r="G944" s="59"/>
      <c r="H944" s="59"/>
      <c r="I944" s="59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>
      <c r="A945" s="57"/>
      <c r="B945" s="57"/>
      <c r="C945" s="57"/>
      <c r="D945" s="57"/>
      <c r="E945" s="58"/>
      <c r="F945" s="57"/>
      <c r="G945" s="59"/>
      <c r="H945" s="59"/>
      <c r="I945" s="59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</sheetData>
  <conditionalFormatting sqref="F4:AD56 F61:AD113 F117:AD169">
    <cfRule type="cellIs" dxfId="14" priority="1" operator="equal">
      <formula>0</formula>
    </cfRule>
  </conditionalFormatting>
  <conditionalFormatting sqref="G4:I56 G61:I113 G117:I169">
    <cfRule type="colorScale" priority="2">
      <colorScale>
        <cfvo type="min"/>
        <cfvo type="max"/>
        <color rgb="FFFFFFFF"/>
        <color rgb="FF57BB8A"/>
      </colorScale>
    </cfRule>
  </conditionalFormatting>
  <conditionalFormatting sqref="J4:AD56 J61:AD113 J117:AD169">
    <cfRule type="colorScale" priority="3">
      <colorScale>
        <cfvo type="min"/>
        <cfvo type="max"/>
        <color rgb="FFFFFFFF"/>
        <color rgb="FF57BB8A"/>
      </colorScale>
    </cfRule>
  </conditionalFormatting>
  <conditionalFormatting sqref="F117:AD169">
    <cfRule type="colorScale" priority="4">
      <colorScale>
        <cfvo type="min"/>
        <cfvo type="max"/>
        <color rgb="FFFFFFFF"/>
        <color rgb="FF57BB8A"/>
      </colorScale>
    </cfRule>
  </conditionalFormatting>
  <conditionalFormatting sqref="F117:AD169">
    <cfRule type="notContainsBlanks" dxfId="15" priority="5">
      <formula>LEN(TRIM(F117))&gt;0</formula>
    </cfRule>
  </conditionalFormatting>
  <conditionalFormatting sqref="F117:AD169">
    <cfRule type="colorScale" priority="6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D4:E56 G4:AD56 D61:E113 G61:AD113">
      <formula1>AND(ISNUMBER(D4),(NOT(OR(NOT(ISERROR(DATEVALUE(D4))), AND(ISNUMBER(D4), LEFT(CELL("format", D4))="D")))))</formula1>
    </dataValidation>
    <dataValidation allowBlank="1" showDropDown="1" sqref="A4:C56 A61:C113"/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5.25"/>
    <col customWidth="1" min="4" max="5" width="15.63"/>
    <col customWidth="1" min="6" max="6" width="11.63"/>
    <col customWidth="1" min="7" max="8" width="13.13"/>
    <col customWidth="1" min="9" max="52" width="11.63"/>
  </cols>
  <sheetData>
    <row r="1">
      <c r="A1" s="56" t="s">
        <v>1062</v>
      </c>
      <c r="B1" s="57"/>
      <c r="C1" s="57"/>
      <c r="D1" s="57"/>
      <c r="E1" s="58"/>
      <c r="F1" s="57"/>
      <c r="G1" s="59"/>
      <c r="H1" s="59"/>
      <c r="I1" s="59"/>
      <c r="J1" s="59"/>
      <c r="K1" s="59"/>
      <c r="L1" s="59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</row>
    <row r="2">
      <c r="A2" s="57"/>
      <c r="B2" s="57"/>
      <c r="C2" s="57"/>
      <c r="D2" s="57"/>
      <c r="E2" s="58"/>
      <c r="F2" s="69">
        <v>2004.0</v>
      </c>
      <c r="G2" s="59"/>
      <c r="H2" s="59"/>
      <c r="I2" s="59"/>
      <c r="J2" s="59"/>
      <c r="K2" s="59"/>
      <c r="L2" s="59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</row>
    <row r="3" ht="22.5" customHeight="1">
      <c r="A3" s="60" t="s">
        <v>1063</v>
      </c>
      <c r="B3" s="60" t="s">
        <v>1064</v>
      </c>
      <c r="C3" s="60" t="s">
        <v>1065</v>
      </c>
      <c r="D3" s="60" t="s">
        <v>1066</v>
      </c>
      <c r="E3" s="61" t="s">
        <v>1067</v>
      </c>
      <c r="F3" s="60" t="s">
        <v>1196</v>
      </c>
      <c r="G3" s="76" t="s">
        <v>1221</v>
      </c>
      <c r="H3" s="70" t="s">
        <v>1197</v>
      </c>
      <c r="I3" s="76" t="s">
        <v>1222</v>
      </c>
      <c r="J3" s="70" t="s">
        <v>1198</v>
      </c>
      <c r="K3" s="76" t="s">
        <v>1223</v>
      </c>
      <c r="L3" s="70" t="s">
        <v>1199</v>
      </c>
      <c r="M3" s="76" t="s">
        <v>1224</v>
      </c>
      <c r="N3" s="60" t="s">
        <v>1200</v>
      </c>
      <c r="O3" s="76" t="s">
        <v>1225</v>
      </c>
      <c r="P3" s="60" t="s">
        <v>1201</v>
      </c>
      <c r="Q3" s="76" t="s">
        <v>1226</v>
      </c>
      <c r="R3" s="60" t="s">
        <v>1202</v>
      </c>
      <c r="S3" s="76" t="s">
        <v>1227</v>
      </c>
      <c r="T3" s="60" t="s">
        <v>1203</v>
      </c>
      <c r="U3" s="76" t="s">
        <v>1228</v>
      </c>
      <c r="V3" s="60" t="s">
        <v>1204</v>
      </c>
      <c r="W3" s="76" t="s">
        <v>1229</v>
      </c>
      <c r="X3" s="60" t="s">
        <v>1205</v>
      </c>
      <c r="Y3" s="76" t="s">
        <v>1230</v>
      </c>
      <c r="Z3" s="60" t="s">
        <v>1206</v>
      </c>
      <c r="AA3" s="76" t="s">
        <v>1231</v>
      </c>
      <c r="AB3" s="60" t="s">
        <v>1207</v>
      </c>
      <c r="AC3" s="76" t="s">
        <v>1232</v>
      </c>
      <c r="AD3" s="60" t="s">
        <v>1208</v>
      </c>
      <c r="AE3" s="76" t="s">
        <v>1233</v>
      </c>
      <c r="AF3" s="60" t="s">
        <v>1209</v>
      </c>
      <c r="AG3" s="76" t="s">
        <v>1234</v>
      </c>
      <c r="AH3" s="60" t="s">
        <v>1210</v>
      </c>
      <c r="AI3" s="76" t="s">
        <v>1235</v>
      </c>
      <c r="AJ3" s="60" t="s">
        <v>1211</v>
      </c>
      <c r="AK3" s="76" t="s">
        <v>1236</v>
      </c>
      <c r="AL3" s="60" t="s">
        <v>1212</v>
      </c>
      <c r="AM3" s="76" t="s">
        <v>1237</v>
      </c>
      <c r="AN3" s="60" t="s">
        <v>1213</v>
      </c>
      <c r="AO3" s="76" t="s">
        <v>1238</v>
      </c>
      <c r="AP3" s="60" t="s">
        <v>1214</v>
      </c>
      <c r="AQ3" s="76" t="s">
        <v>1239</v>
      </c>
      <c r="AR3" s="60" t="s">
        <v>1215</v>
      </c>
      <c r="AS3" s="76" t="s">
        <v>1240</v>
      </c>
      <c r="AT3" s="60" t="s">
        <v>1216</v>
      </c>
      <c r="AU3" s="76" t="s">
        <v>1241</v>
      </c>
      <c r="AV3" s="60" t="s">
        <v>1217</v>
      </c>
      <c r="AW3" s="76" t="s">
        <v>1242</v>
      </c>
      <c r="AX3" s="60" t="s">
        <v>1218</v>
      </c>
      <c r="AY3" s="60" t="s">
        <v>1219</v>
      </c>
      <c r="AZ3" s="60" t="s">
        <v>1220</v>
      </c>
    </row>
    <row r="4" ht="22.5" customHeight="1">
      <c r="A4" s="62" t="s">
        <v>246</v>
      </c>
      <c r="B4" s="62" t="s">
        <v>1139</v>
      </c>
      <c r="C4" s="62" t="s">
        <v>1140</v>
      </c>
      <c r="D4" s="62">
        <v>2026.0</v>
      </c>
      <c r="E4" s="63">
        <v>18.110612985</v>
      </c>
      <c r="F4" s="62">
        <v>0.0</v>
      </c>
      <c r="G4" s="71"/>
      <c r="H4" s="71">
        <v>0.0</v>
      </c>
      <c r="I4" s="71"/>
      <c r="J4" s="71">
        <v>15000.0</v>
      </c>
      <c r="K4" s="64"/>
      <c r="L4" s="64" t="s">
        <v>1092</v>
      </c>
      <c r="M4" s="62"/>
      <c r="N4" s="62">
        <v>0.0</v>
      </c>
      <c r="O4" s="62"/>
      <c r="P4" s="62">
        <v>0.0</v>
      </c>
      <c r="Q4" s="62"/>
      <c r="R4" s="62">
        <v>6000.0</v>
      </c>
      <c r="S4" s="62"/>
      <c r="T4" s="62">
        <v>1000.0</v>
      </c>
      <c r="U4" s="62"/>
      <c r="V4" s="62">
        <v>4000.0</v>
      </c>
      <c r="W4" s="62"/>
      <c r="X4" s="62">
        <v>2000.0</v>
      </c>
      <c r="Y4" s="62"/>
      <c r="Z4" s="62">
        <v>2000.0</v>
      </c>
      <c r="AA4" s="62"/>
      <c r="AB4" s="62">
        <v>2000.0</v>
      </c>
      <c r="AC4" s="62"/>
      <c r="AD4" s="62">
        <v>4500.0</v>
      </c>
      <c r="AE4" s="62"/>
      <c r="AF4" s="62">
        <v>34000.0</v>
      </c>
      <c r="AG4" s="62"/>
      <c r="AH4" s="62">
        <v>9000.0</v>
      </c>
      <c r="AI4" s="62"/>
      <c r="AJ4" s="62">
        <v>10000.0</v>
      </c>
      <c r="AK4" s="62"/>
      <c r="AL4" s="62">
        <v>0.0</v>
      </c>
      <c r="AM4" s="62"/>
      <c r="AN4" s="62">
        <v>0.0</v>
      </c>
      <c r="AO4" s="62"/>
      <c r="AP4" s="62">
        <v>15000.0</v>
      </c>
      <c r="AQ4" s="62"/>
      <c r="AR4" s="62">
        <v>0.0</v>
      </c>
      <c r="AS4" s="62"/>
      <c r="AT4" s="62">
        <v>2000.0</v>
      </c>
      <c r="AU4" s="62"/>
      <c r="AV4" s="62">
        <v>0.0</v>
      </c>
      <c r="AW4" s="62"/>
      <c r="AX4" s="62">
        <v>0.0</v>
      </c>
      <c r="AY4" s="62">
        <v>2000.0</v>
      </c>
      <c r="AZ4" s="62">
        <v>9000.0</v>
      </c>
    </row>
    <row r="5" ht="22.5" customHeight="1">
      <c r="A5" s="62" t="s">
        <v>246</v>
      </c>
      <c r="B5" s="62" t="s">
        <v>1095</v>
      </c>
      <c r="C5" s="62" t="s">
        <v>1096</v>
      </c>
      <c r="D5" s="62">
        <v>2022.0</v>
      </c>
      <c r="E5" s="63">
        <v>21.1987533783</v>
      </c>
      <c r="F5" s="62">
        <v>0.0</v>
      </c>
      <c r="G5" s="71"/>
      <c r="H5" s="71">
        <v>0.0</v>
      </c>
      <c r="I5" s="71"/>
      <c r="J5" s="71">
        <v>0.0</v>
      </c>
      <c r="K5" s="64"/>
      <c r="L5" s="64" t="s">
        <v>1092</v>
      </c>
      <c r="M5" s="62"/>
      <c r="N5" s="62">
        <v>0.0</v>
      </c>
      <c r="O5" s="62"/>
      <c r="P5" s="62">
        <v>0.0</v>
      </c>
      <c r="Q5" s="62"/>
      <c r="R5" s="62">
        <v>0.0</v>
      </c>
      <c r="S5" s="62"/>
      <c r="T5" s="62">
        <v>8000.0</v>
      </c>
      <c r="U5" s="62"/>
      <c r="V5" s="62">
        <v>8000.0</v>
      </c>
      <c r="W5" s="62"/>
      <c r="X5" s="62">
        <v>8000.0</v>
      </c>
      <c r="Y5" s="62"/>
      <c r="Z5" s="62">
        <v>6000.0</v>
      </c>
      <c r="AA5" s="62"/>
      <c r="AB5" s="62">
        <v>0.0</v>
      </c>
      <c r="AC5" s="62"/>
      <c r="AD5" s="62">
        <v>0.0</v>
      </c>
      <c r="AE5" s="62"/>
      <c r="AF5" s="62">
        <v>16000.0</v>
      </c>
      <c r="AG5" s="62"/>
      <c r="AH5" s="62">
        <v>16000.0</v>
      </c>
      <c r="AI5" s="62"/>
      <c r="AJ5" s="62">
        <v>12000.0</v>
      </c>
      <c r="AK5" s="62"/>
      <c r="AL5" s="62">
        <v>5000.0</v>
      </c>
      <c r="AM5" s="62"/>
      <c r="AN5" s="62">
        <v>0.0</v>
      </c>
      <c r="AO5" s="62"/>
      <c r="AP5" s="62">
        <v>0.0</v>
      </c>
      <c r="AQ5" s="62"/>
      <c r="AR5" s="62">
        <v>0.0</v>
      </c>
      <c r="AS5" s="62"/>
      <c r="AT5" s="62">
        <v>6000.0</v>
      </c>
      <c r="AU5" s="62"/>
      <c r="AV5" s="62">
        <v>4000.0</v>
      </c>
      <c r="AW5" s="62"/>
      <c r="AX5" s="62">
        <v>5000.0</v>
      </c>
      <c r="AY5" s="62">
        <v>0.0</v>
      </c>
      <c r="AZ5" s="62">
        <v>0.0</v>
      </c>
    </row>
    <row r="6" ht="22.5" customHeight="1">
      <c r="A6" s="62" t="s">
        <v>246</v>
      </c>
      <c r="B6" s="62" t="s">
        <v>1141</v>
      </c>
      <c r="C6" s="62" t="s">
        <v>1142</v>
      </c>
      <c r="D6" s="62">
        <v>2026.0</v>
      </c>
      <c r="E6" s="63">
        <v>11.6095621633</v>
      </c>
      <c r="F6" s="62">
        <v>0.0</v>
      </c>
      <c r="G6" s="71"/>
      <c r="H6" s="71">
        <v>0.0</v>
      </c>
      <c r="I6" s="71"/>
      <c r="J6" s="71">
        <v>5000.0</v>
      </c>
      <c r="K6" s="64"/>
      <c r="L6" s="64" t="s">
        <v>1092</v>
      </c>
      <c r="M6" s="62"/>
      <c r="N6" s="62">
        <v>3000.0</v>
      </c>
      <c r="O6" s="62"/>
      <c r="P6" s="62">
        <v>2000.0</v>
      </c>
      <c r="Q6" s="62"/>
      <c r="R6" s="62">
        <v>0.0</v>
      </c>
      <c r="S6" s="62"/>
      <c r="T6" s="62">
        <v>0.0</v>
      </c>
      <c r="U6" s="62"/>
      <c r="V6" s="62">
        <v>0.0</v>
      </c>
      <c r="W6" s="62"/>
      <c r="X6" s="62">
        <v>1000.0</v>
      </c>
      <c r="Y6" s="62"/>
      <c r="Z6" s="62">
        <v>0.0</v>
      </c>
      <c r="AA6" s="62"/>
      <c r="AB6" s="62">
        <v>0.0</v>
      </c>
      <c r="AC6" s="62"/>
      <c r="AD6" s="62">
        <v>0.0</v>
      </c>
      <c r="AE6" s="62"/>
      <c r="AF6" s="62">
        <v>3000.0</v>
      </c>
      <c r="AG6" s="62"/>
      <c r="AH6" s="62">
        <v>3000.0</v>
      </c>
      <c r="AI6" s="62"/>
      <c r="AJ6" s="62">
        <v>2000.0</v>
      </c>
      <c r="AK6" s="62"/>
      <c r="AL6" s="62">
        <v>2000.0</v>
      </c>
      <c r="AM6" s="62"/>
      <c r="AN6" s="62">
        <v>0.0</v>
      </c>
      <c r="AO6" s="62"/>
      <c r="AP6" s="62">
        <v>1000.0</v>
      </c>
      <c r="AQ6" s="62"/>
      <c r="AR6" s="62">
        <v>3000.0</v>
      </c>
      <c r="AS6" s="62"/>
      <c r="AT6" s="62">
        <v>1000.0</v>
      </c>
      <c r="AU6" s="62"/>
      <c r="AV6" s="62">
        <v>4000.0</v>
      </c>
      <c r="AW6" s="62"/>
      <c r="AX6" s="62">
        <v>0.0</v>
      </c>
      <c r="AY6" s="62">
        <v>1000.0</v>
      </c>
      <c r="AZ6" s="62">
        <v>5000.0</v>
      </c>
    </row>
    <row r="7" ht="22.5" customHeight="1">
      <c r="A7" s="62" t="s">
        <v>95</v>
      </c>
      <c r="B7" s="62" t="s">
        <v>1146</v>
      </c>
      <c r="C7" s="62" t="s">
        <v>1147</v>
      </c>
      <c r="D7" s="62">
        <v>2026.0</v>
      </c>
      <c r="E7" s="63">
        <v>29.4711171643</v>
      </c>
      <c r="F7" s="62">
        <v>0.0</v>
      </c>
      <c r="G7" s="71"/>
      <c r="H7" s="71">
        <v>0.0</v>
      </c>
      <c r="I7" s="71"/>
      <c r="J7" s="71">
        <v>25000.0</v>
      </c>
      <c r="K7" s="64"/>
      <c r="L7" s="64" t="s">
        <v>1092</v>
      </c>
      <c r="M7" s="62"/>
      <c r="N7" s="62">
        <v>25000.0</v>
      </c>
      <c r="O7" s="62"/>
      <c r="P7" s="62">
        <v>10000.0</v>
      </c>
      <c r="Q7" s="62"/>
      <c r="R7" s="62">
        <v>0.0</v>
      </c>
      <c r="S7" s="62"/>
      <c r="T7" s="62">
        <v>18000.0</v>
      </c>
      <c r="U7" s="62"/>
      <c r="V7" s="62">
        <v>18000.0</v>
      </c>
      <c r="W7" s="62"/>
      <c r="X7" s="62">
        <v>12000.0</v>
      </c>
      <c r="Y7" s="62"/>
      <c r="Z7" s="62">
        <v>0.0</v>
      </c>
      <c r="AA7" s="62"/>
      <c r="AB7" s="62">
        <v>3000.0</v>
      </c>
      <c r="AC7" s="62"/>
      <c r="AD7" s="62">
        <v>12000.0</v>
      </c>
      <c r="AE7" s="62"/>
      <c r="AF7" s="62">
        <v>30000.0</v>
      </c>
      <c r="AG7" s="62"/>
      <c r="AH7" s="62">
        <v>8000.0</v>
      </c>
      <c r="AI7" s="62"/>
      <c r="AJ7" s="62">
        <v>0.0</v>
      </c>
      <c r="AK7" s="62"/>
      <c r="AL7" s="62">
        <v>0.0</v>
      </c>
      <c r="AM7" s="62"/>
      <c r="AN7" s="62">
        <v>3000.0</v>
      </c>
      <c r="AO7" s="62"/>
      <c r="AP7" s="62">
        <v>3000.0</v>
      </c>
      <c r="AQ7" s="62"/>
      <c r="AR7" s="62">
        <v>9000.0</v>
      </c>
      <c r="AS7" s="62"/>
      <c r="AT7" s="62">
        <v>15000.0</v>
      </c>
      <c r="AU7" s="62"/>
      <c r="AV7" s="62">
        <v>15000.0</v>
      </c>
      <c r="AW7" s="62"/>
      <c r="AX7" s="62">
        <v>0.0</v>
      </c>
      <c r="AY7" s="62">
        <v>0.0</v>
      </c>
      <c r="AZ7" s="62">
        <v>0.0</v>
      </c>
    </row>
    <row r="8" ht="22.5" customHeight="1">
      <c r="A8" s="62" t="s">
        <v>95</v>
      </c>
      <c r="B8" s="62" t="s">
        <v>1099</v>
      </c>
      <c r="C8" s="62" t="s">
        <v>1100</v>
      </c>
      <c r="D8" s="62">
        <v>2022.0</v>
      </c>
      <c r="E8" s="63">
        <v>41.9793488172</v>
      </c>
      <c r="F8" s="62">
        <v>24000.0</v>
      </c>
      <c r="G8" s="71"/>
      <c r="H8" s="71">
        <v>15000.0</v>
      </c>
      <c r="I8" s="71"/>
      <c r="J8" s="71">
        <v>15000.0</v>
      </c>
      <c r="K8" s="64"/>
      <c r="L8" s="64" t="s">
        <v>1092</v>
      </c>
      <c r="M8" s="62"/>
      <c r="N8" s="62">
        <v>15000.0</v>
      </c>
      <c r="O8" s="62"/>
      <c r="P8" s="62">
        <v>25000.0</v>
      </c>
      <c r="Q8" s="62"/>
      <c r="R8" s="62">
        <v>20000.0</v>
      </c>
      <c r="S8" s="62"/>
      <c r="T8" s="62">
        <v>10000.0</v>
      </c>
      <c r="U8" s="62"/>
      <c r="V8" s="62">
        <v>5000.0</v>
      </c>
      <c r="W8" s="62"/>
      <c r="X8" s="62">
        <v>0.0</v>
      </c>
      <c r="Y8" s="62"/>
      <c r="Z8" s="62">
        <v>0.0</v>
      </c>
      <c r="AA8" s="62"/>
      <c r="AB8" s="62">
        <v>30000.0</v>
      </c>
      <c r="AC8" s="62"/>
      <c r="AD8" s="62">
        <v>15000.0</v>
      </c>
      <c r="AE8" s="62"/>
      <c r="AF8" s="62">
        <v>20000.0</v>
      </c>
      <c r="AG8" s="62"/>
      <c r="AH8" s="62">
        <v>10000.0</v>
      </c>
      <c r="AI8" s="62"/>
      <c r="AJ8" s="62">
        <v>5000.0</v>
      </c>
      <c r="AK8" s="62"/>
      <c r="AL8" s="62">
        <v>5000.0</v>
      </c>
      <c r="AM8" s="62"/>
      <c r="AN8" s="62">
        <v>3000.0</v>
      </c>
      <c r="AO8" s="62"/>
      <c r="AP8" s="62">
        <v>0.0</v>
      </c>
      <c r="AQ8" s="62"/>
      <c r="AR8" s="62">
        <v>0.0</v>
      </c>
      <c r="AS8" s="62"/>
      <c r="AT8" s="62">
        <v>16000.0</v>
      </c>
      <c r="AU8" s="62"/>
      <c r="AV8" s="62">
        <v>24000.0</v>
      </c>
      <c r="AW8" s="62"/>
      <c r="AX8" s="62">
        <v>20000.0</v>
      </c>
      <c r="AY8" s="62">
        <v>0.0</v>
      </c>
      <c r="AZ8" s="62">
        <v>0.0</v>
      </c>
    </row>
    <row r="9" ht="22.5" customHeight="1">
      <c r="A9" s="62" t="s">
        <v>234</v>
      </c>
      <c r="B9" s="62" t="s">
        <v>1135</v>
      </c>
      <c r="C9" s="62" t="s">
        <v>1148</v>
      </c>
      <c r="D9" s="62">
        <v>2026.0</v>
      </c>
      <c r="E9" s="63">
        <v>16.5529615454</v>
      </c>
      <c r="F9" s="62">
        <v>12000.0</v>
      </c>
      <c r="G9" s="71"/>
      <c r="H9" s="71">
        <v>10000.0</v>
      </c>
      <c r="I9" s="71"/>
      <c r="J9" s="71">
        <v>3000.0</v>
      </c>
      <c r="K9" s="64"/>
      <c r="L9" s="64" t="s">
        <v>1092</v>
      </c>
      <c r="M9" s="62"/>
      <c r="N9" s="62">
        <v>5000.0</v>
      </c>
      <c r="O9" s="62"/>
      <c r="P9" s="62">
        <v>5000.0</v>
      </c>
      <c r="Q9" s="62"/>
      <c r="R9" s="62">
        <v>3000.0</v>
      </c>
      <c r="S9" s="62"/>
      <c r="T9" s="62">
        <v>6000.0</v>
      </c>
      <c r="U9" s="62"/>
      <c r="V9" s="62">
        <v>0.0</v>
      </c>
      <c r="W9" s="62"/>
      <c r="X9" s="62">
        <v>0.0</v>
      </c>
      <c r="Y9" s="62"/>
      <c r="Z9" s="62">
        <v>0.0</v>
      </c>
      <c r="AA9" s="62"/>
      <c r="AB9" s="62">
        <v>8000.0</v>
      </c>
      <c r="AC9" s="62"/>
      <c r="AD9" s="62">
        <v>5000.0</v>
      </c>
      <c r="AE9" s="62"/>
      <c r="AF9" s="62">
        <v>12000.0</v>
      </c>
      <c r="AG9" s="62"/>
      <c r="AH9" s="62">
        <v>5000.0</v>
      </c>
      <c r="AI9" s="62"/>
      <c r="AJ9" s="62">
        <v>2000.0</v>
      </c>
      <c r="AK9" s="62"/>
      <c r="AL9" s="62">
        <v>7000.0</v>
      </c>
      <c r="AM9" s="62"/>
      <c r="AN9" s="62">
        <v>12000.0</v>
      </c>
      <c r="AO9" s="62"/>
      <c r="AP9" s="62">
        <v>5000.0</v>
      </c>
      <c r="AQ9" s="62"/>
      <c r="AR9" s="62">
        <v>0.0</v>
      </c>
      <c r="AS9" s="62"/>
      <c r="AT9" s="62">
        <v>0.0</v>
      </c>
      <c r="AU9" s="62"/>
      <c r="AV9" s="62">
        <v>0.0</v>
      </c>
      <c r="AW9" s="62"/>
      <c r="AX9" s="62">
        <v>0.0</v>
      </c>
      <c r="AY9" s="62">
        <v>7000.0</v>
      </c>
      <c r="AZ9" s="62">
        <v>0.0</v>
      </c>
    </row>
    <row r="10" ht="22.5" customHeight="1">
      <c r="A10" s="62" t="s">
        <v>234</v>
      </c>
      <c r="B10" s="62" t="s">
        <v>1109</v>
      </c>
      <c r="C10" s="62" t="s">
        <v>1110</v>
      </c>
      <c r="D10" s="62">
        <v>2022.0</v>
      </c>
      <c r="E10" s="63">
        <v>23.0283132751</v>
      </c>
      <c r="F10" s="62">
        <v>1000.0</v>
      </c>
      <c r="G10" s="71"/>
      <c r="H10" s="71">
        <v>0.0</v>
      </c>
      <c r="I10" s="71"/>
      <c r="J10" s="71">
        <v>25000.0</v>
      </c>
      <c r="K10" s="64"/>
      <c r="L10" s="64" t="s">
        <v>1092</v>
      </c>
      <c r="M10" s="62"/>
      <c r="N10" s="62">
        <v>9000.0</v>
      </c>
      <c r="O10" s="62"/>
      <c r="P10" s="62">
        <v>0.0</v>
      </c>
      <c r="Q10" s="62"/>
      <c r="R10" s="62">
        <v>0.0</v>
      </c>
      <c r="S10" s="62"/>
      <c r="T10" s="62">
        <v>0.0</v>
      </c>
      <c r="U10" s="62"/>
      <c r="V10" s="62">
        <v>0.0</v>
      </c>
      <c r="W10" s="62"/>
      <c r="X10" s="62">
        <v>0.0</v>
      </c>
      <c r="Y10" s="62"/>
      <c r="Z10" s="62">
        <v>0.0</v>
      </c>
      <c r="AA10" s="62"/>
      <c r="AB10" s="62">
        <v>0.0</v>
      </c>
      <c r="AC10" s="62"/>
      <c r="AD10" s="62">
        <v>0.0</v>
      </c>
      <c r="AE10" s="62"/>
      <c r="AF10" s="62">
        <v>5000.0</v>
      </c>
      <c r="AG10" s="62"/>
      <c r="AH10" s="62">
        <v>3.0</v>
      </c>
      <c r="AI10" s="62"/>
      <c r="AJ10" s="62">
        <v>8000.0</v>
      </c>
      <c r="AK10" s="62"/>
      <c r="AL10" s="62">
        <v>7000.0</v>
      </c>
      <c r="AM10" s="62"/>
      <c r="AN10" s="62">
        <v>7000.0</v>
      </c>
      <c r="AO10" s="62"/>
      <c r="AP10" s="62">
        <v>7000.0</v>
      </c>
      <c r="AQ10" s="62"/>
      <c r="AR10" s="62">
        <v>0.0</v>
      </c>
      <c r="AS10" s="62"/>
      <c r="AT10" s="62">
        <v>12000.0</v>
      </c>
      <c r="AU10" s="62"/>
      <c r="AV10" s="62">
        <v>10000.0</v>
      </c>
      <c r="AW10" s="62"/>
      <c r="AX10" s="62">
        <v>5000.0</v>
      </c>
      <c r="AY10" s="62">
        <v>0.0</v>
      </c>
      <c r="AZ10" s="62">
        <v>0.0</v>
      </c>
    </row>
    <row r="11" ht="22.5" customHeight="1">
      <c r="A11" s="62" t="s">
        <v>234</v>
      </c>
      <c r="B11" s="62" t="s">
        <v>1133</v>
      </c>
      <c r="C11" s="62" t="s">
        <v>1134</v>
      </c>
      <c r="D11" s="62">
        <v>2025.0</v>
      </c>
      <c r="E11" s="63">
        <v>53.6279968265</v>
      </c>
      <c r="F11" s="62">
        <v>0.0</v>
      </c>
      <c r="G11" s="71"/>
      <c r="H11" s="71">
        <v>0.0</v>
      </c>
      <c r="I11" s="71"/>
      <c r="J11" s="71">
        <v>0.0</v>
      </c>
      <c r="K11" s="64"/>
      <c r="L11" s="64" t="s">
        <v>1092</v>
      </c>
      <c r="M11" s="62"/>
      <c r="N11" s="62">
        <v>10000.0</v>
      </c>
      <c r="O11" s="62"/>
      <c r="P11" s="62">
        <v>10000.0</v>
      </c>
      <c r="Q11" s="62"/>
      <c r="R11" s="62">
        <v>0.0</v>
      </c>
      <c r="S11" s="62"/>
      <c r="T11" s="62">
        <v>20000.0</v>
      </c>
      <c r="U11" s="62"/>
      <c r="V11" s="62">
        <v>20000.0</v>
      </c>
      <c r="W11" s="62"/>
      <c r="X11" s="62">
        <v>15000.0</v>
      </c>
      <c r="Y11" s="62"/>
      <c r="Z11" s="62">
        <v>10000.0</v>
      </c>
      <c r="AA11" s="62"/>
      <c r="AB11" s="62">
        <v>0.0</v>
      </c>
      <c r="AC11" s="62"/>
      <c r="AD11" s="62">
        <v>0.0</v>
      </c>
      <c r="AE11" s="62"/>
      <c r="AF11" s="62">
        <v>10000.0</v>
      </c>
      <c r="AG11" s="62"/>
      <c r="AH11" s="62">
        <v>25000.0</v>
      </c>
      <c r="AI11" s="62"/>
      <c r="AJ11" s="62">
        <v>30000.0</v>
      </c>
      <c r="AK11" s="62"/>
      <c r="AL11" s="62">
        <v>20000.0</v>
      </c>
      <c r="AM11" s="62"/>
      <c r="AN11" s="62">
        <v>0.0</v>
      </c>
      <c r="AO11" s="62"/>
      <c r="AP11" s="62">
        <v>27000.0</v>
      </c>
      <c r="AQ11" s="62"/>
      <c r="AR11" s="62">
        <v>30000.0</v>
      </c>
      <c r="AS11" s="62"/>
      <c r="AT11" s="62">
        <v>26000.0</v>
      </c>
      <c r="AU11" s="62"/>
      <c r="AV11" s="62">
        <v>0.0</v>
      </c>
      <c r="AW11" s="62"/>
      <c r="AX11" s="62">
        <v>0.0</v>
      </c>
      <c r="AY11" s="62">
        <v>0.0</v>
      </c>
      <c r="AZ11" s="62">
        <v>0.0</v>
      </c>
    </row>
    <row r="12" ht="22.5" customHeight="1">
      <c r="A12" s="62" t="s">
        <v>234</v>
      </c>
      <c r="B12" s="62" t="s">
        <v>1107</v>
      </c>
      <c r="C12" s="62" t="s">
        <v>1108</v>
      </c>
      <c r="D12" s="62">
        <v>2022.0</v>
      </c>
      <c r="E12" s="63">
        <v>52.1536105648</v>
      </c>
      <c r="F12" s="62">
        <v>7000.0</v>
      </c>
      <c r="G12" s="71"/>
      <c r="H12" s="71">
        <v>0.0</v>
      </c>
      <c r="I12" s="71"/>
      <c r="J12" s="71">
        <v>10000.0</v>
      </c>
      <c r="K12" s="64"/>
      <c r="L12" s="64" t="s">
        <v>1092</v>
      </c>
      <c r="M12" s="62"/>
      <c r="N12" s="62">
        <v>18000.0</v>
      </c>
      <c r="O12" s="62"/>
      <c r="P12" s="62">
        <v>0.0</v>
      </c>
      <c r="Q12" s="62"/>
      <c r="R12" s="62">
        <v>0.0</v>
      </c>
      <c r="S12" s="62"/>
      <c r="T12" s="62">
        <v>25000.0</v>
      </c>
      <c r="U12" s="62"/>
      <c r="V12" s="62">
        <v>20000.0</v>
      </c>
      <c r="W12" s="62"/>
      <c r="X12" s="62">
        <v>15000.0</v>
      </c>
      <c r="Y12" s="62"/>
      <c r="Z12" s="62">
        <v>10000.0</v>
      </c>
      <c r="AA12" s="62"/>
      <c r="AB12" s="62">
        <v>0.0</v>
      </c>
      <c r="AC12" s="62"/>
      <c r="AD12" s="62">
        <v>0.0</v>
      </c>
      <c r="AE12" s="62"/>
      <c r="AF12" s="62">
        <v>25000.0</v>
      </c>
      <c r="AG12" s="62"/>
      <c r="AH12" s="62">
        <v>20000.0</v>
      </c>
      <c r="AI12" s="62"/>
      <c r="AJ12" s="62">
        <v>6000.0</v>
      </c>
      <c r="AK12" s="62"/>
      <c r="AL12" s="62">
        <v>6000.0</v>
      </c>
      <c r="AM12" s="62"/>
      <c r="AN12" s="62">
        <v>8000.0</v>
      </c>
      <c r="AO12" s="62"/>
      <c r="AP12" s="62">
        <v>0.0</v>
      </c>
      <c r="AQ12" s="62"/>
      <c r="AR12" s="62">
        <v>0.0</v>
      </c>
      <c r="AS12" s="62"/>
      <c r="AT12" s="62">
        <v>31000.0</v>
      </c>
      <c r="AU12" s="62"/>
      <c r="AV12" s="62">
        <v>31000.0</v>
      </c>
      <c r="AW12" s="62"/>
      <c r="AX12" s="62">
        <v>15000.0</v>
      </c>
      <c r="AY12" s="62">
        <v>10000.0</v>
      </c>
      <c r="AZ12" s="62">
        <v>0.0</v>
      </c>
    </row>
    <row r="13" ht="22.5" customHeight="1">
      <c r="A13" s="62" t="s">
        <v>234</v>
      </c>
      <c r="B13" s="62" t="s">
        <v>1151</v>
      </c>
      <c r="C13" s="62" t="s">
        <v>1152</v>
      </c>
      <c r="D13" s="62">
        <v>2026.0</v>
      </c>
      <c r="E13" s="63">
        <v>6.73257861682</v>
      </c>
      <c r="F13" s="62">
        <v>1000.0</v>
      </c>
      <c r="G13" s="71"/>
      <c r="H13" s="71">
        <v>1000.0</v>
      </c>
      <c r="I13" s="71"/>
      <c r="J13" s="71">
        <v>0.0</v>
      </c>
      <c r="K13" s="64"/>
      <c r="L13" s="64" t="s">
        <v>1092</v>
      </c>
      <c r="M13" s="62"/>
      <c r="N13" s="62">
        <v>0.0</v>
      </c>
      <c r="O13" s="62"/>
      <c r="P13" s="62">
        <v>0.0</v>
      </c>
      <c r="Q13" s="62"/>
      <c r="R13" s="62">
        <v>0.0</v>
      </c>
      <c r="S13" s="62"/>
      <c r="T13" s="62">
        <v>0.0</v>
      </c>
      <c r="U13" s="62"/>
      <c r="V13" s="62">
        <v>0.0</v>
      </c>
      <c r="W13" s="62"/>
      <c r="X13" s="62">
        <v>3000.0</v>
      </c>
      <c r="Y13" s="62"/>
      <c r="Z13" s="62">
        <v>3000.0</v>
      </c>
      <c r="AA13" s="62"/>
      <c r="AB13" s="62">
        <v>3000.0</v>
      </c>
      <c r="AC13" s="62"/>
      <c r="AD13" s="62">
        <v>0.0</v>
      </c>
      <c r="AE13" s="62"/>
      <c r="AF13" s="62">
        <v>0.0</v>
      </c>
      <c r="AG13" s="62"/>
      <c r="AH13" s="62">
        <v>0.0</v>
      </c>
      <c r="AI13" s="62"/>
      <c r="AJ13" s="62">
        <v>0.0</v>
      </c>
      <c r="AK13" s="62"/>
      <c r="AL13" s="62">
        <v>1000.0</v>
      </c>
      <c r="AM13" s="62"/>
      <c r="AN13" s="62">
        <v>3000.0</v>
      </c>
      <c r="AO13" s="62"/>
      <c r="AP13" s="62">
        <v>0.0</v>
      </c>
      <c r="AQ13" s="62"/>
      <c r="AR13" s="62">
        <v>0.0</v>
      </c>
      <c r="AS13" s="62"/>
      <c r="AT13" s="62">
        <v>0.0</v>
      </c>
      <c r="AU13" s="62"/>
      <c r="AV13" s="62">
        <v>3500.0</v>
      </c>
      <c r="AW13" s="62"/>
      <c r="AX13" s="62">
        <v>3500.0</v>
      </c>
      <c r="AY13" s="62">
        <v>2000.0</v>
      </c>
      <c r="AZ13" s="62">
        <v>0.0</v>
      </c>
    </row>
    <row r="14" ht="22.5" customHeight="1">
      <c r="A14" s="62" t="s">
        <v>234</v>
      </c>
      <c r="B14" s="62" t="s">
        <v>1149</v>
      </c>
      <c r="C14" s="62" t="s">
        <v>1150</v>
      </c>
      <c r="D14" s="62">
        <v>2026.0</v>
      </c>
      <c r="E14" s="63">
        <v>21.9569411482</v>
      </c>
      <c r="F14" s="62">
        <v>0.0</v>
      </c>
      <c r="G14" s="71"/>
      <c r="H14" s="71">
        <v>0.0</v>
      </c>
      <c r="I14" s="71"/>
      <c r="J14" s="71">
        <v>15000.0</v>
      </c>
      <c r="K14" s="64"/>
      <c r="L14" s="64" t="s">
        <v>1092</v>
      </c>
      <c r="M14" s="62"/>
      <c r="N14" s="62">
        <v>11000.0</v>
      </c>
      <c r="O14" s="62"/>
      <c r="P14" s="62">
        <v>11000.0</v>
      </c>
      <c r="Q14" s="62"/>
      <c r="R14" s="62">
        <v>0.0</v>
      </c>
      <c r="S14" s="62"/>
      <c r="T14" s="62">
        <v>11000.0</v>
      </c>
      <c r="U14" s="62"/>
      <c r="V14" s="62">
        <v>11000.0</v>
      </c>
      <c r="W14" s="62"/>
      <c r="X14" s="62">
        <v>15000.0</v>
      </c>
      <c r="Y14" s="62"/>
      <c r="Z14" s="62">
        <v>11000.0</v>
      </c>
      <c r="AA14" s="62"/>
      <c r="AB14" s="62">
        <v>6000.0</v>
      </c>
      <c r="AC14" s="62"/>
      <c r="AD14" s="62">
        <v>0.0</v>
      </c>
      <c r="AE14" s="62"/>
      <c r="AF14" s="62">
        <v>4000.0</v>
      </c>
      <c r="AG14" s="62"/>
      <c r="AH14" s="62">
        <v>8000.0</v>
      </c>
      <c r="AI14" s="62"/>
      <c r="AJ14" s="62">
        <v>6000.0</v>
      </c>
      <c r="AK14" s="62"/>
      <c r="AL14" s="62">
        <v>4000.0</v>
      </c>
      <c r="AM14" s="62"/>
      <c r="AN14" s="62">
        <v>2000.0</v>
      </c>
      <c r="AO14" s="62"/>
      <c r="AP14" s="62">
        <v>11000.0</v>
      </c>
      <c r="AQ14" s="62"/>
      <c r="AR14" s="62">
        <v>6000.0</v>
      </c>
      <c r="AS14" s="62"/>
      <c r="AT14" s="62">
        <v>7000.0</v>
      </c>
      <c r="AU14" s="62"/>
      <c r="AV14" s="62">
        <v>4000.0</v>
      </c>
      <c r="AW14" s="62"/>
      <c r="AX14" s="62">
        <v>0.0</v>
      </c>
      <c r="AY14" s="62">
        <v>0.0</v>
      </c>
      <c r="AZ14" s="62">
        <v>0.0</v>
      </c>
    </row>
    <row r="15" ht="22.5" customHeight="1">
      <c r="A15" s="62" t="s">
        <v>234</v>
      </c>
      <c r="B15" s="62" t="s">
        <v>1172</v>
      </c>
      <c r="C15" s="62" t="s">
        <v>1173</v>
      </c>
      <c r="D15" s="62" t="s">
        <v>1163</v>
      </c>
      <c r="E15" s="63">
        <v>14.3042001117</v>
      </c>
      <c r="F15" s="62">
        <v>6000.0</v>
      </c>
      <c r="G15" s="71"/>
      <c r="H15" s="71">
        <v>2000.0</v>
      </c>
      <c r="I15" s="71"/>
      <c r="J15" s="71">
        <v>1000.0</v>
      </c>
      <c r="K15" s="64"/>
      <c r="L15" s="64" t="s">
        <v>1092</v>
      </c>
      <c r="M15" s="62"/>
      <c r="N15" s="62">
        <v>0.0</v>
      </c>
      <c r="O15" s="62"/>
      <c r="P15" s="62">
        <v>0.0</v>
      </c>
      <c r="Q15" s="62"/>
      <c r="R15" s="62">
        <v>0.0</v>
      </c>
      <c r="S15" s="62"/>
      <c r="T15" s="62">
        <v>0.0</v>
      </c>
      <c r="U15" s="62"/>
      <c r="V15" s="62">
        <v>0.0</v>
      </c>
      <c r="W15" s="62"/>
      <c r="X15" s="62">
        <v>6000.0</v>
      </c>
      <c r="Y15" s="62"/>
      <c r="Z15" s="62">
        <v>8000.0</v>
      </c>
      <c r="AA15" s="62"/>
      <c r="AB15" s="62">
        <v>3000.0</v>
      </c>
      <c r="AC15" s="62"/>
      <c r="AD15" s="62">
        <v>1500.0</v>
      </c>
      <c r="AE15" s="62"/>
      <c r="AF15" s="62">
        <v>0.0</v>
      </c>
      <c r="AG15" s="62"/>
      <c r="AH15" s="62">
        <v>0.0</v>
      </c>
      <c r="AI15" s="62"/>
      <c r="AJ15" s="62">
        <v>2000.0</v>
      </c>
      <c r="AK15" s="62"/>
      <c r="AL15" s="62">
        <v>2000.0</v>
      </c>
      <c r="AM15" s="62"/>
      <c r="AN15" s="62">
        <v>4000.0</v>
      </c>
      <c r="AO15" s="62"/>
      <c r="AP15" s="62">
        <v>5000.0</v>
      </c>
      <c r="AQ15" s="62"/>
      <c r="AR15" s="62">
        <v>0.0</v>
      </c>
      <c r="AS15" s="62"/>
      <c r="AT15" s="62">
        <v>0.0</v>
      </c>
      <c r="AU15" s="62"/>
      <c r="AV15" s="62">
        <v>0.0</v>
      </c>
      <c r="AW15" s="62"/>
      <c r="AX15" s="62">
        <v>0.0</v>
      </c>
      <c r="AY15" s="62">
        <v>0.0</v>
      </c>
      <c r="AZ15" s="62">
        <v>0.0</v>
      </c>
    </row>
    <row r="16" ht="22.5" customHeight="1">
      <c r="A16" s="62" t="s">
        <v>95</v>
      </c>
      <c r="B16" s="62" t="s">
        <v>1115</v>
      </c>
      <c r="C16" s="62" t="s">
        <v>1116</v>
      </c>
      <c r="D16" s="62">
        <v>2023.0</v>
      </c>
      <c r="E16" s="63">
        <v>30.7513054957</v>
      </c>
      <c r="F16" s="62">
        <v>0.0</v>
      </c>
      <c r="G16" s="71"/>
      <c r="H16" s="71">
        <v>0.0</v>
      </c>
      <c r="I16" s="71"/>
      <c r="J16" s="71">
        <v>0.0</v>
      </c>
      <c r="K16" s="64"/>
      <c r="L16" s="64" t="s">
        <v>1092</v>
      </c>
      <c r="M16" s="62"/>
      <c r="N16" s="62">
        <v>4000.0</v>
      </c>
      <c r="O16" s="62"/>
      <c r="P16" s="62">
        <v>4000.0</v>
      </c>
      <c r="Q16" s="62"/>
      <c r="R16" s="62">
        <v>0.0</v>
      </c>
      <c r="S16" s="62"/>
      <c r="T16" s="62">
        <v>0.0</v>
      </c>
      <c r="U16" s="62"/>
      <c r="V16" s="62">
        <v>0.0</v>
      </c>
      <c r="W16" s="62"/>
      <c r="X16" s="62">
        <v>4000.0</v>
      </c>
      <c r="Y16" s="62"/>
      <c r="Z16" s="62">
        <v>3000.0</v>
      </c>
      <c r="AA16" s="62"/>
      <c r="AB16" s="62">
        <v>0.0</v>
      </c>
      <c r="AC16" s="62"/>
      <c r="AD16" s="62">
        <v>0.0</v>
      </c>
      <c r="AE16" s="62"/>
      <c r="AF16" s="62">
        <v>2000.0</v>
      </c>
      <c r="AG16" s="62"/>
      <c r="AH16" s="62">
        <v>6000.0</v>
      </c>
      <c r="AI16" s="62"/>
      <c r="AJ16" s="62">
        <v>2000.0</v>
      </c>
      <c r="AK16" s="62"/>
      <c r="AL16" s="62">
        <v>3000.0</v>
      </c>
      <c r="AM16" s="62"/>
      <c r="AN16" s="62">
        <v>7500.0</v>
      </c>
      <c r="AO16" s="62"/>
      <c r="AP16" s="62">
        <v>0.0</v>
      </c>
      <c r="AQ16" s="62"/>
      <c r="AR16" s="62">
        <v>0.0</v>
      </c>
      <c r="AS16" s="62"/>
      <c r="AT16" s="62">
        <v>0.0</v>
      </c>
      <c r="AU16" s="62"/>
      <c r="AV16" s="62">
        <v>13000.0</v>
      </c>
      <c r="AW16" s="62"/>
      <c r="AX16" s="62">
        <v>21000.0</v>
      </c>
      <c r="AY16" s="62">
        <v>0.0</v>
      </c>
      <c r="AZ16" s="62">
        <v>0.0</v>
      </c>
    </row>
    <row r="17" ht="22.5" customHeight="1">
      <c r="A17" s="62" t="s">
        <v>95</v>
      </c>
      <c r="B17" s="62" t="s">
        <v>1125</v>
      </c>
      <c r="C17" s="62" t="s">
        <v>1126</v>
      </c>
      <c r="D17" s="62">
        <v>2024.0</v>
      </c>
      <c r="E17" s="63">
        <v>32.6661500852</v>
      </c>
      <c r="F17" s="62">
        <v>0.0</v>
      </c>
      <c r="G17" s="71"/>
      <c r="H17" s="71">
        <v>0.0</v>
      </c>
      <c r="I17" s="71"/>
      <c r="J17" s="71">
        <v>30000.0</v>
      </c>
      <c r="K17" s="64"/>
      <c r="L17" s="64" t="s">
        <v>1092</v>
      </c>
      <c r="M17" s="62"/>
      <c r="N17" s="62">
        <v>22000.0</v>
      </c>
      <c r="O17" s="62"/>
      <c r="P17" s="62">
        <v>5000.0</v>
      </c>
      <c r="Q17" s="62"/>
      <c r="R17" s="62">
        <v>12000.0</v>
      </c>
      <c r="S17" s="62"/>
      <c r="T17" s="62">
        <v>18000.0</v>
      </c>
      <c r="U17" s="62"/>
      <c r="V17" s="62">
        <v>18000.0</v>
      </c>
      <c r="W17" s="62"/>
      <c r="X17" s="62">
        <v>0.0</v>
      </c>
      <c r="Y17" s="62"/>
      <c r="Z17" s="62">
        <v>0.0</v>
      </c>
      <c r="AA17" s="62"/>
      <c r="AB17" s="62">
        <v>3000.0</v>
      </c>
      <c r="AC17" s="62"/>
      <c r="AD17" s="62">
        <v>15000.0</v>
      </c>
      <c r="AE17" s="62"/>
      <c r="AF17" s="62">
        <v>36000.0</v>
      </c>
      <c r="AG17" s="62"/>
      <c r="AH17" s="62">
        <v>8000.0</v>
      </c>
      <c r="AI17" s="62"/>
      <c r="AJ17" s="62">
        <v>0.0</v>
      </c>
      <c r="AK17" s="62"/>
      <c r="AL17" s="62">
        <v>3000.0</v>
      </c>
      <c r="AM17" s="62"/>
      <c r="AN17" s="62">
        <v>7500.0</v>
      </c>
      <c r="AO17" s="62"/>
      <c r="AP17" s="62">
        <v>10000.0</v>
      </c>
      <c r="AQ17" s="62"/>
      <c r="AR17" s="62">
        <v>6000.0</v>
      </c>
      <c r="AS17" s="62"/>
      <c r="AT17" s="62">
        <v>0.0</v>
      </c>
      <c r="AU17" s="62"/>
      <c r="AV17" s="62">
        <v>0.0</v>
      </c>
      <c r="AW17" s="62"/>
      <c r="AX17" s="62">
        <v>15000.0</v>
      </c>
      <c r="AY17" s="62">
        <v>25000.0</v>
      </c>
      <c r="AZ17" s="62">
        <v>0.0</v>
      </c>
    </row>
    <row r="18" ht="22.5" customHeight="1">
      <c r="A18" s="62" t="s">
        <v>95</v>
      </c>
      <c r="B18" s="62" t="s">
        <v>1127</v>
      </c>
      <c r="C18" s="62" t="s">
        <v>1128</v>
      </c>
      <c r="D18" s="62">
        <v>2024.0</v>
      </c>
      <c r="E18" s="63">
        <v>8.50617469066</v>
      </c>
      <c r="F18" s="62">
        <v>0.0</v>
      </c>
      <c r="G18" s="71"/>
      <c r="H18" s="71">
        <v>0.0</v>
      </c>
      <c r="I18" s="71"/>
      <c r="J18" s="71">
        <v>6000.0</v>
      </c>
      <c r="K18" s="64"/>
      <c r="L18" s="64" t="s">
        <v>1092</v>
      </c>
      <c r="M18" s="62"/>
      <c r="N18" s="62">
        <v>2500.0</v>
      </c>
      <c r="O18" s="62"/>
      <c r="P18" s="62">
        <v>1000.0</v>
      </c>
      <c r="Q18" s="62"/>
      <c r="R18" s="62">
        <v>4000.0</v>
      </c>
      <c r="S18" s="62"/>
      <c r="T18" s="62">
        <v>3000.0</v>
      </c>
      <c r="U18" s="62"/>
      <c r="V18" s="62">
        <v>0.0</v>
      </c>
      <c r="W18" s="62"/>
      <c r="X18" s="62">
        <v>0.0</v>
      </c>
      <c r="Y18" s="62"/>
      <c r="Z18" s="62">
        <v>0.0</v>
      </c>
      <c r="AA18" s="62"/>
      <c r="AB18" s="62">
        <v>1000.0</v>
      </c>
      <c r="AC18" s="62"/>
      <c r="AD18" s="62">
        <v>3500.0</v>
      </c>
      <c r="AE18" s="62"/>
      <c r="AF18" s="62">
        <v>3500.0</v>
      </c>
      <c r="AG18" s="62"/>
      <c r="AH18" s="62">
        <v>2000.0</v>
      </c>
      <c r="AI18" s="62"/>
      <c r="AJ18" s="62">
        <v>0.0</v>
      </c>
      <c r="AK18" s="62"/>
      <c r="AL18" s="62">
        <v>2000.0</v>
      </c>
      <c r="AM18" s="62"/>
      <c r="AN18" s="62">
        <v>3000.0</v>
      </c>
      <c r="AO18" s="62"/>
      <c r="AP18" s="62">
        <v>3000.0</v>
      </c>
      <c r="AQ18" s="62"/>
      <c r="AR18" s="62">
        <v>1000.0</v>
      </c>
      <c r="AS18" s="62"/>
      <c r="AT18" s="62">
        <v>0.0</v>
      </c>
      <c r="AU18" s="62"/>
      <c r="AV18" s="62">
        <v>0.0</v>
      </c>
      <c r="AW18" s="62"/>
      <c r="AX18" s="62">
        <v>2500.0</v>
      </c>
      <c r="AY18" s="62">
        <v>6000.0</v>
      </c>
      <c r="AZ18" s="62">
        <v>0.0</v>
      </c>
    </row>
    <row r="19" ht="22.5" customHeight="1">
      <c r="A19" s="62" t="s">
        <v>95</v>
      </c>
      <c r="B19" s="62" t="s">
        <v>1157</v>
      </c>
      <c r="C19" s="62" t="s">
        <v>1158</v>
      </c>
      <c r="D19" s="62">
        <v>2027.0</v>
      </c>
      <c r="E19" s="63">
        <v>27.3393036699</v>
      </c>
      <c r="F19" s="62">
        <v>3000.0</v>
      </c>
      <c r="G19" s="71"/>
      <c r="H19" s="71">
        <v>0.0</v>
      </c>
      <c r="I19" s="71"/>
      <c r="J19" s="71">
        <v>0.0</v>
      </c>
      <c r="K19" s="64"/>
      <c r="L19" s="64" t="s">
        <v>1092</v>
      </c>
      <c r="M19" s="62"/>
      <c r="N19" s="62">
        <v>12000.0</v>
      </c>
      <c r="O19" s="62"/>
      <c r="P19" s="62">
        <v>10000.0</v>
      </c>
      <c r="Q19" s="62"/>
      <c r="R19" s="62">
        <v>0.0</v>
      </c>
      <c r="S19" s="62"/>
      <c r="T19" s="62">
        <v>0.0</v>
      </c>
      <c r="U19" s="62"/>
      <c r="V19" s="62">
        <v>15000.0</v>
      </c>
      <c r="W19" s="62"/>
      <c r="X19" s="62">
        <v>15000.0</v>
      </c>
      <c r="Y19" s="62"/>
      <c r="Z19" s="62">
        <v>4000.0</v>
      </c>
      <c r="AA19" s="62"/>
      <c r="AB19" s="62">
        <v>0.0</v>
      </c>
      <c r="AC19" s="62"/>
      <c r="AD19" s="62">
        <v>0.0</v>
      </c>
      <c r="AE19" s="62"/>
      <c r="AF19" s="62">
        <v>3000.0</v>
      </c>
      <c r="AG19" s="62"/>
      <c r="AH19" s="62">
        <v>12000.0</v>
      </c>
      <c r="AI19" s="62"/>
      <c r="AJ19" s="62">
        <v>10000.0</v>
      </c>
      <c r="AK19" s="62"/>
      <c r="AL19" s="62">
        <v>7000.0</v>
      </c>
      <c r="AM19" s="62"/>
      <c r="AN19" s="62">
        <v>9000.0</v>
      </c>
      <c r="AO19" s="62"/>
      <c r="AP19" s="62">
        <v>0.0</v>
      </c>
      <c r="AQ19" s="62"/>
      <c r="AR19" s="62">
        <v>0.0</v>
      </c>
      <c r="AS19" s="62"/>
      <c r="AT19" s="62">
        <v>10000.0</v>
      </c>
      <c r="AU19" s="62"/>
      <c r="AV19" s="62">
        <v>10000.0</v>
      </c>
      <c r="AW19" s="62"/>
      <c r="AX19" s="62">
        <v>0.0</v>
      </c>
      <c r="AY19" s="62">
        <v>0.0</v>
      </c>
      <c r="AZ19" s="62">
        <v>0.0</v>
      </c>
    </row>
    <row r="20" ht="22.5" customHeight="1">
      <c r="A20" s="62" t="s">
        <v>95</v>
      </c>
      <c r="B20" s="62" t="s">
        <v>1119</v>
      </c>
      <c r="C20" s="62" t="s">
        <v>1120</v>
      </c>
      <c r="D20" s="62">
        <v>2023.0</v>
      </c>
      <c r="E20" s="63">
        <v>33.5305766338</v>
      </c>
      <c r="F20" s="62">
        <v>0.0</v>
      </c>
      <c r="G20" s="71"/>
      <c r="H20" s="71">
        <v>0.0</v>
      </c>
      <c r="I20" s="71"/>
      <c r="J20" s="71">
        <v>0.0</v>
      </c>
      <c r="K20" s="64"/>
      <c r="L20" s="64" t="s">
        <v>1092</v>
      </c>
      <c r="M20" s="62"/>
      <c r="N20" s="62">
        <v>24000.0</v>
      </c>
      <c r="O20" s="62"/>
      <c r="P20" s="62">
        <v>5000.0</v>
      </c>
      <c r="Q20" s="62"/>
      <c r="R20" s="62">
        <v>20000.0</v>
      </c>
      <c r="S20" s="62"/>
      <c r="T20" s="62">
        <v>20000.0</v>
      </c>
      <c r="U20" s="62"/>
      <c r="V20" s="62">
        <v>15000.0</v>
      </c>
      <c r="W20" s="62"/>
      <c r="X20" s="62">
        <v>6000.0</v>
      </c>
      <c r="Y20" s="62"/>
      <c r="Z20" s="62">
        <v>9000.0</v>
      </c>
      <c r="AA20" s="62"/>
      <c r="AB20" s="62">
        <v>14000.0</v>
      </c>
      <c r="AC20" s="62"/>
      <c r="AD20" s="62">
        <v>7000.0</v>
      </c>
      <c r="AE20" s="62"/>
      <c r="AF20" s="62">
        <v>7000.0</v>
      </c>
      <c r="AG20" s="62"/>
      <c r="AH20" s="62">
        <v>0.0</v>
      </c>
      <c r="AI20" s="62"/>
      <c r="AJ20" s="62">
        <v>0.0</v>
      </c>
      <c r="AK20" s="62"/>
      <c r="AL20" s="62">
        <v>25000.0</v>
      </c>
      <c r="AM20" s="62"/>
      <c r="AN20" s="62">
        <v>15000.0</v>
      </c>
      <c r="AO20" s="62"/>
      <c r="AP20" s="62">
        <v>12000.0</v>
      </c>
      <c r="AQ20" s="62"/>
      <c r="AR20" s="62">
        <v>0.0</v>
      </c>
      <c r="AS20" s="62"/>
      <c r="AT20" s="62">
        <v>0.0</v>
      </c>
      <c r="AU20" s="62"/>
      <c r="AV20" s="62">
        <v>22000.0</v>
      </c>
      <c r="AW20" s="62"/>
      <c r="AX20" s="62">
        <v>20000.0</v>
      </c>
      <c r="AY20" s="62">
        <v>15000.0</v>
      </c>
      <c r="AZ20" s="62">
        <v>0.0</v>
      </c>
    </row>
    <row r="21" ht="22.5" customHeight="1">
      <c r="A21" s="62" t="s">
        <v>95</v>
      </c>
      <c r="B21" s="62" t="s">
        <v>1129</v>
      </c>
      <c r="C21" s="62" t="s">
        <v>1130</v>
      </c>
      <c r="D21" s="62">
        <v>2025.0</v>
      </c>
      <c r="E21" s="63">
        <v>21.6827396902</v>
      </c>
      <c r="F21" s="62">
        <v>2000.0</v>
      </c>
      <c r="G21" s="71"/>
      <c r="H21" s="71">
        <v>0.0</v>
      </c>
      <c r="I21" s="71"/>
      <c r="J21" s="71">
        <v>0.0</v>
      </c>
      <c r="K21" s="64"/>
      <c r="L21" s="64" t="s">
        <v>1092</v>
      </c>
      <c r="M21" s="62"/>
      <c r="N21" s="62">
        <v>0.0</v>
      </c>
      <c r="O21" s="62"/>
      <c r="P21" s="62">
        <v>3000.0</v>
      </c>
      <c r="Q21" s="62"/>
      <c r="R21" s="62">
        <v>11000.0</v>
      </c>
      <c r="S21" s="62"/>
      <c r="T21" s="62">
        <v>11000.0</v>
      </c>
      <c r="U21" s="62"/>
      <c r="V21" s="62">
        <v>6000.0</v>
      </c>
      <c r="W21" s="62"/>
      <c r="X21" s="62">
        <v>0.0</v>
      </c>
      <c r="Y21" s="62"/>
      <c r="Z21" s="62">
        <v>0.0</v>
      </c>
      <c r="AA21" s="62"/>
      <c r="AB21" s="62">
        <v>0.0</v>
      </c>
      <c r="AC21" s="62"/>
      <c r="AD21" s="62">
        <v>0.0</v>
      </c>
      <c r="AE21" s="62"/>
      <c r="AF21" s="62">
        <v>6000.0</v>
      </c>
      <c r="AG21" s="62"/>
      <c r="AH21" s="62">
        <v>8000.0</v>
      </c>
      <c r="AI21" s="62"/>
      <c r="AJ21" s="62">
        <v>6000.0</v>
      </c>
      <c r="AK21" s="62"/>
      <c r="AL21" s="62">
        <v>0.0</v>
      </c>
      <c r="AM21" s="62"/>
      <c r="AN21" s="62">
        <v>3000.0</v>
      </c>
      <c r="AO21" s="62"/>
      <c r="AP21" s="62">
        <v>7000.0</v>
      </c>
      <c r="AQ21" s="62"/>
      <c r="AR21" s="62">
        <v>7000.0</v>
      </c>
      <c r="AS21" s="62"/>
      <c r="AT21" s="62">
        <v>0.0</v>
      </c>
      <c r="AU21" s="62"/>
      <c r="AV21" s="62">
        <v>0.0</v>
      </c>
      <c r="AW21" s="62"/>
      <c r="AX21" s="62">
        <v>0.0</v>
      </c>
      <c r="AY21" s="62">
        <v>0.0</v>
      </c>
      <c r="AZ21" s="62">
        <v>0.0</v>
      </c>
    </row>
    <row r="22" ht="22.5" customHeight="1">
      <c r="A22" s="62" t="s">
        <v>95</v>
      </c>
      <c r="B22" s="62" t="s">
        <v>1168</v>
      </c>
      <c r="C22" s="62" t="s">
        <v>1169</v>
      </c>
      <c r="D22" s="62" t="s">
        <v>1163</v>
      </c>
      <c r="E22" s="63">
        <v>8.73790091166</v>
      </c>
      <c r="F22" s="62">
        <v>6000.0</v>
      </c>
      <c r="G22" s="71"/>
      <c r="H22" s="71">
        <v>5000.0</v>
      </c>
      <c r="I22" s="71"/>
      <c r="J22" s="71">
        <v>4500.0</v>
      </c>
      <c r="K22" s="64"/>
      <c r="L22" s="64" t="s">
        <v>1092</v>
      </c>
      <c r="M22" s="62"/>
      <c r="N22" s="62">
        <v>0.0</v>
      </c>
      <c r="O22" s="62"/>
      <c r="P22" s="62">
        <v>0.0</v>
      </c>
      <c r="Q22" s="62"/>
      <c r="R22" s="62">
        <v>0.0</v>
      </c>
      <c r="S22" s="62"/>
      <c r="T22" s="62">
        <v>0.0</v>
      </c>
      <c r="U22" s="62"/>
      <c r="V22" s="62">
        <v>0.0</v>
      </c>
      <c r="W22" s="62"/>
      <c r="X22" s="62">
        <v>0.0</v>
      </c>
      <c r="Y22" s="62"/>
      <c r="Z22" s="62">
        <v>0.0</v>
      </c>
      <c r="AA22" s="62"/>
      <c r="AB22" s="62">
        <v>0.0</v>
      </c>
      <c r="AC22" s="62"/>
      <c r="AD22" s="62">
        <v>0.0</v>
      </c>
      <c r="AE22" s="62"/>
      <c r="AF22" s="62">
        <v>0.0</v>
      </c>
      <c r="AG22" s="62"/>
      <c r="AH22" s="62">
        <v>0.0</v>
      </c>
      <c r="AI22" s="62"/>
      <c r="AJ22" s="62">
        <v>1000.0</v>
      </c>
      <c r="AK22" s="62"/>
      <c r="AL22" s="62">
        <v>0.0</v>
      </c>
      <c r="AM22" s="62"/>
      <c r="AN22" s="62">
        <v>0.0</v>
      </c>
      <c r="AO22" s="62"/>
      <c r="AP22" s="62">
        <v>0.0</v>
      </c>
      <c r="AQ22" s="62"/>
      <c r="AR22" s="62">
        <v>0.0</v>
      </c>
      <c r="AS22" s="62"/>
      <c r="AT22" s="62">
        <v>0.0</v>
      </c>
      <c r="AU22" s="62"/>
      <c r="AV22" s="62">
        <v>0.0</v>
      </c>
      <c r="AW22" s="62"/>
      <c r="AX22" s="62">
        <v>0.0</v>
      </c>
      <c r="AY22" s="62">
        <v>0.0</v>
      </c>
      <c r="AZ22" s="62">
        <v>0.0</v>
      </c>
    </row>
    <row r="23" ht="22.5" customHeight="1">
      <c r="A23" s="62" t="s">
        <v>95</v>
      </c>
      <c r="B23" s="62" t="s">
        <v>1101</v>
      </c>
      <c r="C23" s="62" t="s">
        <v>1102</v>
      </c>
      <c r="D23" s="62">
        <v>2022.0</v>
      </c>
      <c r="E23" s="63">
        <v>7.2930020469</v>
      </c>
      <c r="F23" s="62">
        <v>1000.0</v>
      </c>
      <c r="G23" s="71"/>
      <c r="H23" s="71">
        <v>1000.0</v>
      </c>
      <c r="I23" s="71"/>
      <c r="J23" s="71">
        <v>3000.0</v>
      </c>
      <c r="K23" s="64"/>
      <c r="L23" s="64" t="s">
        <v>1092</v>
      </c>
      <c r="M23" s="62"/>
      <c r="N23" s="62">
        <v>0.0</v>
      </c>
      <c r="O23" s="62"/>
      <c r="P23" s="62">
        <v>0.0</v>
      </c>
      <c r="Q23" s="62"/>
      <c r="R23" s="62">
        <v>0.0</v>
      </c>
      <c r="S23" s="62"/>
      <c r="T23" s="62">
        <v>0.0</v>
      </c>
      <c r="U23" s="62"/>
      <c r="V23" s="62">
        <v>0.0</v>
      </c>
      <c r="W23" s="62"/>
      <c r="X23" s="62">
        <v>0.0</v>
      </c>
      <c r="Y23" s="62"/>
      <c r="Z23" s="62">
        <v>0.0</v>
      </c>
      <c r="AA23" s="62"/>
      <c r="AB23" s="62">
        <v>1000.0</v>
      </c>
      <c r="AC23" s="62"/>
      <c r="AD23" s="62">
        <v>2500.0</v>
      </c>
      <c r="AE23" s="62"/>
      <c r="AF23" s="62">
        <v>3500.0</v>
      </c>
      <c r="AG23" s="62"/>
      <c r="AH23" s="62">
        <v>1000.0</v>
      </c>
      <c r="AI23" s="62"/>
      <c r="AJ23" s="62">
        <v>2000.0</v>
      </c>
      <c r="AK23" s="62"/>
      <c r="AL23" s="62">
        <v>0.0</v>
      </c>
      <c r="AM23" s="62"/>
      <c r="AN23" s="62">
        <v>0.0</v>
      </c>
      <c r="AO23" s="62"/>
      <c r="AP23" s="62">
        <v>2000.0</v>
      </c>
      <c r="AQ23" s="62"/>
      <c r="AR23" s="62">
        <v>0.0</v>
      </c>
      <c r="AS23" s="62"/>
      <c r="AT23" s="62">
        <v>2000.0</v>
      </c>
      <c r="AU23" s="62"/>
      <c r="AV23" s="62">
        <v>2000.0</v>
      </c>
      <c r="AW23" s="62"/>
      <c r="AX23" s="62">
        <v>1000.0</v>
      </c>
      <c r="AY23" s="62">
        <v>0.0</v>
      </c>
      <c r="AZ23" s="62">
        <v>0.0</v>
      </c>
    </row>
    <row r="24" ht="22.5" customHeight="1">
      <c r="A24" s="62" t="s">
        <v>95</v>
      </c>
      <c r="B24" s="62" t="s">
        <v>1105</v>
      </c>
      <c r="C24" s="62" t="s">
        <v>1106</v>
      </c>
      <c r="D24" s="62">
        <v>2022.0</v>
      </c>
      <c r="E24" s="63">
        <v>21.6269020049</v>
      </c>
      <c r="F24" s="62">
        <v>2500.0</v>
      </c>
      <c r="G24" s="71"/>
      <c r="H24" s="71">
        <v>0.0</v>
      </c>
      <c r="I24" s="71"/>
      <c r="J24" s="71">
        <v>15000.0</v>
      </c>
      <c r="K24" s="64"/>
      <c r="L24" s="64" t="s">
        <v>1092</v>
      </c>
      <c r="M24" s="62"/>
      <c r="N24" s="62">
        <v>8000.0</v>
      </c>
      <c r="O24" s="62"/>
      <c r="P24" s="62">
        <v>0.0</v>
      </c>
      <c r="Q24" s="62"/>
      <c r="R24" s="62">
        <v>0.0</v>
      </c>
      <c r="S24" s="62"/>
      <c r="T24" s="62">
        <v>0.0</v>
      </c>
      <c r="U24" s="62"/>
      <c r="V24" s="62">
        <v>0.0</v>
      </c>
      <c r="W24" s="62"/>
      <c r="X24" s="62">
        <v>0.0</v>
      </c>
      <c r="Y24" s="62"/>
      <c r="Z24" s="62">
        <v>12000.0</v>
      </c>
      <c r="AA24" s="62"/>
      <c r="AB24" s="62">
        <v>8000.0</v>
      </c>
      <c r="AC24" s="62"/>
      <c r="AD24" s="62">
        <v>4000.0</v>
      </c>
      <c r="AE24" s="62"/>
      <c r="AF24" s="62">
        <v>0.0</v>
      </c>
      <c r="AG24" s="62"/>
      <c r="AH24" s="62">
        <v>0.0</v>
      </c>
      <c r="AI24" s="62"/>
      <c r="AJ24" s="62">
        <v>6000.0</v>
      </c>
      <c r="AK24" s="62"/>
      <c r="AL24" s="62">
        <v>15000.0</v>
      </c>
      <c r="AM24" s="62"/>
      <c r="AN24" s="62">
        <v>15000.0</v>
      </c>
      <c r="AO24" s="62"/>
      <c r="AP24" s="62">
        <v>0.0</v>
      </c>
      <c r="AQ24" s="62"/>
      <c r="AR24" s="62">
        <v>0.0</v>
      </c>
      <c r="AS24" s="62"/>
      <c r="AT24" s="62">
        <v>8000.0</v>
      </c>
      <c r="AU24" s="62"/>
      <c r="AV24" s="62">
        <v>12000.0</v>
      </c>
      <c r="AW24" s="62"/>
      <c r="AX24" s="62">
        <v>8000.0</v>
      </c>
      <c r="AY24" s="62">
        <v>0.0</v>
      </c>
      <c r="AZ24" s="62">
        <v>0.0</v>
      </c>
    </row>
    <row r="25" ht="22.5" customHeight="1">
      <c r="A25" s="62" t="s">
        <v>95</v>
      </c>
      <c r="B25" s="62" t="s">
        <v>1093</v>
      </c>
      <c r="C25" s="62" t="s">
        <v>1094</v>
      </c>
      <c r="D25" s="62">
        <v>2021.0</v>
      </c>
      <c r="E25" s="63">
        <v>31.0370262599</v>
      </c>
      <c r="F25" s="62">
        <v>0.0</v>
      </c>
      <c r="G25" s="71"/>
      <c r="H25" s="71">
        <v>0.0</v>
      </c>
      <c r="I25" s="71"/>
      <c r="J25" s="71">
        <v>8000.0</v>
      </c>
      <c r="K25" s="64"/>
      <c r="L25" s="64" t="s">
        <v>1092</v>
      </c>
      <c r="M25" s="62"/>
      <c r="N25" s="62">
        <v>12000.0</v>
      </c>
      <c r="O25" s="62"/>
      <c r="P25" s="62">
        <v>4000.0</v>
      </c>
      <c r="Q25" s="62"/>
      <c r="R25" s="62">
        <v>0.0</v>
      </c>
      <c r="S25" s="62"/>
      <c r="T25" s="62">
        <v>0.0</v>
      </c>
      <c r="U25" s="62"/>
      <c r="V25" s="62">
        <v>0.0</v>
      </c>
      <c r="W25" s="62"/>
      <c r="X25" s="62">
        <v>7000.0</v>
      </c>
      <c r="Y25" s="62"/>
      <c r="Z25" s="62">
        <v>18000.0</v>
      </c>
      <c r="AA25" s="62"/>
      <c r="AB25" s="62">
        <v>10000.0</v>
      </c>
      <c r="AC25" s="62"/>
      <c r="AD25" s="62">
        <v>8000.0</v>
      </c>
      <c r="AE25" s="62"/>
      <c r="AF25" s="62">
        <v>3000.0</v>
      </c>
      <c r="AG25" s="62"/>
      <c r="AH25" s="62">
        <v>3000.0</v>
      </c>
      <c r="AI25" s="62"/>
      <c r="AJ25" s="62">
        <v>6000.0</v>
      </c>
      <c r="AK25" s="62"/>
      <c r="AL25" s="62">
        <v>6000.0</v>
      </c>
      <c r="AM25" s="62"/>
      <c r="AN25" s="62">
        <v>0.0</v>
      </c>
      <c r="AO25" s="62"/>
      <c r="AP25" s="62">
        <v>0.0</v>
      </c>
      <c r="AQ25" s="62"/>
      <c r="AR25" s="62">
        <v>10000.0</v>
      </c>
      <c r="AS25" s="62"/>
      <c r="AT25" s="62">
        <v>18000.0</v>
      </c>
      <c r="AU25" s="62"/>
      <c r="AV25" s="62">
        <v>18000.0</v>
      </c>
      <c r="AW25" s="62"/>
      <c r="AX25" s="62">
        <v>10000.0</v>
      </c>
      <c r="AY25" s="62">
        <v>0.0</v>
      </c>
      <c r="AZ25" s="62">
        <v>0.0</v>
      </c>
    </row>
    <row r="26" ht="22.5" customHeight="1">
      <c r="A26" s="62" t="s">
        <v>95</v>
      </c>
      <c r="B26" s="62" t="s">
        <v>1123</v>
      </c>
      <c r="C26" s="62" t="s">
        <v>1124</v>
      </c>
      <c r="D26" s="62">
        <v>2024.0</v>
      </c>
      <c r="E26" s="63">
        <v>21.0156820939</v>
      </c>
      <c r="F26" s="62">
        <v>5000.0</v>
      </c>
      <c r="G26" s="71"/>
      <c r="H26" s="71">
        <v>5000.0</v>
      </c>
      <c r="I26" s="71"/>
      <c r="J26" s="71">
        <v>5000.0</v>
      </c>
      <c r="K26" s="64"/>
      <c r="L26" s="64" t="s">
        <v>1092</v>
      </c>
      <c r="M26" s="62"/>
      <c r="N26" s="62">
        <v>15000.0</v>
      </c>
      <c r="O26" s="62"/>
      <c r="P26" s="62">
        <v>15000.0</v>
      </c>
      <c r="Q26" s="62"/>
      <c r="R26" s="62">
        <v>10000.0</v>
      </c>
      <c r="S26" s="62"/>
      <c r="T26" s="62">
        <v>8000.0</v>
      </c>
      <c r="U26" s="62"/>
      <c r="V26" s="62">
        <v>0.0</v>
      </c>
      <c r="W26" s="62"/>
      <c r="X26" s="62">
        <v>0.0</v>
      </c>
      <c r="Y26" s="62"/>
      <c r="Z26" s="62">
        <v>8000.0</v>
      </c>
      <c r="AA26" s="62"/>
      <c r="AB26" s="62">
        <v>16000.0</v>
      </c>
      <c r="AC26" s="62"/>
      <c r="AD26" s="62">
        <v>6000.0</v>
      </c>
      <c r="AE26" s="62"/>
      <c r="AF26" s="62">
        <v>5000.0</v>
      </c>
      <c r="AG26" s="62"/>
      <c r="AH26" s="62">
        <v>0.0</v>
      </c>
      <c r="AI26" s="62"/>
      <c r="AJ26" s="62">
        <v>0.0</v>
      </c>
      <c r="AK26" s="62"/>
      <c r="AL26" s="62">
        <v>3000.0</v>
      </c>
      <c r="AM26" s="62"/>
      <c r="AN26" s="62">
        <v>15000.0</v>
      </c>
      <c r="AO26" s="62"/>
      <c r="AP26" s="62">
        <v>11000.0</v>
      </c>
      <c r="AQ26" s="62"/>
      <c r="AR26" s="62">
        <v>5000.0</v>
      </c>
      <c r="AS26" s="62"/>
      <c r="AT26" s="62">
        <v>0.0</v>
      </c>
      <c r="AU26" s="62"/>
      <c r="AV26" s="62">
        <v>3000.0</v>
      </c>
      <c r="AW26" s="62"/>
      <c r="AX26" s="62">
        <v>12000.0</v>
      </c>
      <c r="AY26" s="62">
        <v>12000.0</v>
      </c>
      <c r="AZ26" s="62">
        <v>0.0</v>
      </c>
    </row>
    <row r="27" ht="22.5" customHeight="1">
      <c r="A27" s="62" t="s">
        <v>234</v>
      </c>
      <c r="B27" s="62" t="s">
        <v>1155</v>
      </c>
      <c r="C27" s="62" t="s">
        <v>1156</v>
      </c>
      <c r="D27" s="62">
        <v>2026.0</v>
      </c>
      <c r="E27" s="63">
        <v>18.753786413</v>
      </c>
      <c r="F27" s="62">
        <v>0.0</v>
      </c>
      <c r="G27" s="71"/>
      <c r="H27" s="71">
        <v>0.0</v>
      </c>
      <c r="I27" s="71"/>
      <c r="J27" s="71">
        <v>0.0</v>
      </c>
      <c r="K27" s="64"/>
      <c r="L27" s="64" t="s">
        <v>1092</v>
      </c>
      <c r="M27" s="62"/>
      <c r="N27" s="62">
        <v>3000.0</v>
      </c>
      <c r="O27" s="62"/>
      <c r="P27" s="62">
        <v>2000.0</v>
      </c>
      <c r="Q27" s="62"/>
      <c r="R27" s="62">
        <v>0.0</v>
      </c>
      <c r="S27" s="62"/>
      <c r="T27" s="62">
        <v>0.0</v>
      </c>
      <c r="U27" s="62"/>
      <c r="V27" s="62">
        <v>0.0</v>
      </c>
      <c r="W27" s="62"/>
      <c r="X27" s="62">
        <v>4000.0</v>
      </c>
      <c r="Y27" s="62"/>
      <c r="Z27" s="62">
        <v>10000.0</v>
      </c>
      <c r="AA27" s="62"/>
      <c r="AB27" s="62">
        <v>10000.0</v>
      </c>
      <c r="AC27" s="62"/>
      <c r="AD27" s="62">
        <v>3000.0</v>
      </c>
      <c r="AE27" s="62"/>
      <c r="AF27" s="62">
        <v>0.0</v>
      </c>
      <c r="AG27" s="62"/>
      <c r="AH27" s="62">
        <v>0.0</v>
      </c>
      <c r="AI27" s="62"/>
      <c r="AJ27" s="62">
        <v>3000.0</v>
      </c>
      <c r="AK27" s="62"/>
      <c r="AL27" s="62">
        <v>5000.0</v>
      </c>
      <c r="AM27" s="62"/>
      <c r="AN27" s="62">
        <v>6000.0</v>
      </c>
      <c r="AO27" s="62"/>
      <c r="AP27" s="62">
        <v>8000.0</v>
      </c>
      <c r="AQ27" s="62"/>
      <c r="AR27" s="62">
        <v>4000.0</v>
      </c>
      <c r="AS27" s="62"/>
      <c r="AT27" s="62">
        <v>0.0</v>
      </c>
      <c r="AU27" s="62"/>
      <c r="AV27" s="62">
        <v>0.0</v>
      </c>
      <c r="AW27" s="62"/>
      <c r="AX27" s="62">
        <v>0.0</v>
      </c>
      <c r="AY27" s="62">
        <v>0.0</v>
      </c>
      <c r="AZ27" s="62">
        <v>0.0</v>
      </c>
    </row>
    <row r="28" ht="22.5" customHeight="1">
      <c r="A28" s="62" t="s">
        <v>234</v>
      </c>
      <c r="B28" s="62" t="s">
        <v>1170</v>
      </c>
      <c r="C28" s="62" t="s">
        <v>1171</v>
      </c>
      <c r="D28" s="62" t="s">
        <v>1163</v>
      </c>
      <c r="E28" s="63">
        <v>10.9539335449</v>
      </c>
      <c r="F28" s="62">
        <v>5000.0</v>
      </c>
      <c r="G28" s="71"/>
      <c r="H28" s="71">
        <v>0.0</v>
      </c>
      <c r="I28" s="71"/>
      <c r="J28" s="71">
        <v>0.0</v>
      </c>
      <c r="K28" s="64"/>
      <c r="L28" s="64" t="s">
        <v>1092</v>
      </c>
      <c r="M28" s="62"/>
      <c r="N28" s="62">
        <v>1500.0</v>
      </c>
      <c r="O28" s="62"/>
      <c r="P28" s="62">
        <v>1000.0</v>
      </c>
      <c r="Q28" s="62"/>
      <c r="R28" s="62">
        <v>0.0</v>
      </c>
      <c r="S28" s="62"/>
      <c r="T28" s="62">
        <v>0.0</v>
      </c>
      <c r="U28" s="62"/>
      <c r="V28" s="62">
        <v>0.0</v>
      </c>
      <c r="W28" s="62"/>
      <c r="X28" s="62">
        <v>2500.0</v>
      </c>
      <c r="Y28" s="62"/>
      <c r="Z28" s="62">
        <v>2500.0</v>
      </c>
      <c r="AA28" s="62"/>
      <c r="AB28" s="62">
        <v>0.0</v>
      </c>
      <c r="AC28" s="62"/>
      <c r="AD28" s="62">
        <v>0.0</v>
      </c>
      <c r="AE28" s="62"/>
      <c r="AF28" s="62">
        <v>0.0</v>
      </c>
      <c r="AG28" s="62"/>
      <c r="AH28" s="62">
        <v>0.0</v>
      </c>
      <c r="AI28" s="62"/>
      <c r="AJ28" s="62">
        <v>0.0</v>
      </c>
      <c r="AK28" s="62"/>
      <c r="AL28" s="62">
        <v>1000.0</v>
      </c>
      <c r="AM28" s="62"/>
      <c r="AN28" s="62">
        <v>0.0</v>
      </c>
      <c r="AO28" s="62"/>
      <c r="AP28" s="62">
        <v>0.0</v>
      </c>
      <c r="AQ28" s="62"/>
      <c r="AR28" s="62">
        <v>0.0</v>
      </c>
      <c r="AS28" s="62"/>
      <c r="AT28" s="62">
        <v>0.0</v>
      </c>
      <c r="AU28" s="62"/>
      <c r="AV28" s="62">
        <v>0.0</v>
      </c>
      <c r="AW28" s="62"/>
      <c r="AX28" s="62">
        <v>0.0</v>
      </c>
      <c r="AY28" s="62">
        <v>0.0</v>
      </c>
      <c r="AZ28" s="62">
        <v>0.0</v>
      </c>
    </row>
    <row r="29" ht="22.5" customHeight="1">
      <c r="A29" s="62" t="s">
        <v>234</v>
      </c>
      <c r="B29" s="62" t="s">
        <v>1174</v>
      </c>
      <c r="C29" s="62" t="s">
        <v>1175</v>
      </c>
      <c r="D29" s="62" t="s">
        <v>1163</v>
      </c>
      <c r="E29" s="63">
        <v>4.64954341293</v>
      </c>
      <c r="F29" s="62">
        <v>5000.0</v>
      </c>
      <c r="G29" s="71"/>
      <c r="H29" s="71">
        <v>1000.0</v>
      </c>
      <c r="I29" s="71"/>
      <c r="J29" s="71">
        <v>0.0</v>
      </c>
      <c r="K29" s="64"/>
      <c r="L29" s="64" t="s">
        <v>1092</v>
      </c>
      <c r="M29" s="62"/>
      <c r="N29" s="62">
        <v>0.0</v>
      </c>
      <c r="O29" s="62"/>
      <c r="P29" s="62">
        <v>0.0</v>
      </c>
      <c r="Q29" s="62"/>
      <c r="R29" s="62">
        <v>0.0</v>
      </c>
      <c r="S29" s="62"/>
      <c r="T29" s="62">
        <v>0.0</v>
      </c>
      <c r="U29" s="62"/>
      <c r="V29" s="62">
        <v>0.0</v>
      </c>
      <c r="W29" s="62"/>
      <c r="X29" s="62">
        <v>2000.0</v>
      </c>
      <c r="Y29" s="62"/>
      <c r="Z29" s="62">
        <v>2000.0</v>
      </c>
      <c r="AA29" s="62"/>
      <c r="AB29" s="62">
        <v>0.0</v>
      </c>
      <c r="AC29" s="62"/>
      <c r="AD29" s="62">
        <v>0.0</v>
      </c>
      <c r="AE29" s="62"/>
      <c r="AF29" s="62">
        <v>0.0</v>
      </c>
      <c r="AG29" s="62"/>
      <c r="AH29" s="62">
        <v>0.0</v>
      </c>
      <c r="AI29" s="62"/>
      <c r="AJ29" s="62">
        <v>0.0</v>
      </c>
      <c r="AK29" s="62"/>
      <c r="AL29" s="62">
        <v>0.0</v>
      </c>
      <c r="AM29" s="62"/>
      <c r="AN29" s="62">
        <v>0.0</v>
      </c>
      <c r="AO29" s="62"/>
      <c r="AP29" s="62">
        <v>0.0</v>
      </c>
      <c r="AQ29" s="62"/>
      <c r="AR29" s="62">
        <v>0.0</v>
      </c>
      <c r="AS29" s="62"/>
      <c r="AT29" s="62">
        <v>0.0</v>
      </c>
      <c r="AU29" s="62"/>
      <c r="AV29" s="62">
        <v>0.0</v>
      </c>
      <c r="AW29" s="62"/>
      <c r="AX29" s="62">
        <v>0.0</v>
      </c>
      <c r="AY29" s="62">
        <v>0.0</v>
      </c>
      <c r="AZ29" s="62">
        <v>0.0</v>
      </c>
    </row>
    <row r="30" ht="22.5" customHeight="1">
      <c r="A30" s="62" t="s">
        <v>116</v>
      </c>
      <c r="B30" s="62" t="s">
        <v>1190</v>
      </c>
      <c r="C30" s="62" t="s">
        <v>1191</v>
      </c>
      <c r="D30" s="62" t="s">
        <v>1163</v>
      </c>
      <c r="E30" s="63">
        <v>2.23781443696</v>
      </c>
      <c r="F30" s="62">
        <v>0.0</v>
      </c>
      <c r="G30" s="71"/>
      <c r="H30" s="71">
        <v>0.0</v>
      </c>
      <c r="I30" s="71"/>
      <c r="J30" s="71">
        <v>0.0</v>
      </c>
      <c r="K30" s="64"/>
      <c r="L30" s="64" t="s">
        <v>1092</v>
      </c>
      <c r="M30" s="62"/>
      <c r="N30" s="62">
        <v>0.0</v>
      </c>
      <c r="O30" s="62"/>
      <c r="P30" s="62">
        <v>0.0</v>
      </c>
      <c r="Q30" s="62"/>
      <c r="R30" s="62">
        <v>0.0</v>
      </c>
      <c r="S30" s="62"/>
      <c r="T30" s="62">
        <v>0.0</v>
      </c>
      <c r="U30" s="62"/>
      <c r="V30" s="62">
        <v>0.0</v>
      </c>
      <c r="W30" s="62"/>
      <c r="X30" s="62">
        <v>0.0</v>
      </c>
      <c r="Y30" s="62"/>
      <c r="Z30" s="62">
        <v>0.0</v>
      </c>
      <c r="AA30" s="62"/>
      <c r="AB30" s="62">
        <v>0.0</v>
      </c>
      <c r="AC30" s="62"/>
      <c r="AD30" s="62">
        <v>0.0</v>
      </c>
      <c r="AE30" s="62"/>
      <c r="AF30" s="62">
        <v>0.0</v>
      </c>
      <c r="AG30" s="62"/>
      <c r="AH30" s="62">
        <v>0.0</v>
      </c>
      <c r="AI30" s="62"/>
      <c r="AJ30" s="62">
        <v>0.0</v>
      </c>
      <c r="AK30" s="62"/>
      <c r="AL30" s="62">
        <v>0.0</v>
      </c>
      <c r="AM30" s="62"/>
      <c r="AN30" s="62">
        <v>0.0</v>
      </c>
      <c r="AO30" s="62"/>
      <c r="AP30" s="62">
        <v>0.0</v>
      </c>
      <c r="AQ30" s="62"/>
      <c r="AR30" s="62">
        <v>0.0</v>
      </c>
      <c r="AS30" s="62"/>
      <c r="AT30" s="62">
        <v>0.0</v>
      </c>
      <c r="AU30" s="62"/>
      <c r="AV30" s="62">
        <v>0.0</v>
      </c>
      <c r="AW30" s="62"/>
      <c r="AX30" s="62">
        <v>0.0</v>
      </c>
      <c r="AY30" s="62">
        <v>0.0</v>
      </c>
      <c r="AZ30" s="62">
        <v>0.0</v>
      </c>
    </row>
    <row r="31" ht="22.5" customHeight="1">
      <c r="A31" s="62" t="s">
        <v>116</v>
      </c>
      <c r="B31" s="62" t="s">
        <v>1135</v>
      </c>
      <c r="C31" s="62" t="s">
        <v>1136</v>
      </c>
      <c r="D31" s="62">
        <v>2025.0</v>
      </c>
      <c r="E31" s="63">
        <v>9.37382988567</v>
      </c>
      <c r="F31" s="62">
        <v>0.0</v>
      </c>
      <c r="G31" s="71"/>
      <c r="H31" s="71">
        <v>4000.0</v>
      </c>
      <c r="I31" s="71"/>
      <c r="J31" s="71">
        <v>9000.0</v>
      </c>
      <c r="K31" s="64"/>
      <c r="L31" s="64" t="s">
        <v>1092</v>
      </c>
      <c r="M31" s="62"/>
      <c r="N31" s="62">
        <v>6000.0</v>
      </c>
      <c r="O31" s="62"/>
      <c r="P31" s="62">
        <v>2000.0</v>
      </c>
      <c r="Q31" s="62"/>
      <c r="R31" s="62">
        <v>0.0</v>
      </c>
      <c r="S31" s="62"/>
      <c r="T31" s="62">
        <v>5000.0</v>
      </c>
      <c r="U31" s="62"/>
      <c r="V31" s="62">
        <v>6000.0</v>
      </c>
      <c r="W31" s="62"/>
      <c r="X31" s="62">
        <v>2000.0</v>
      </c>
      <c r="Y31" s="62"/>
      <c r="Z31" s="62">
        <v>0.0</v>
      </c>
      <c r="AA31" s="62"/>
      <c r="AB31" s="62">
        <v>1000.0</v>
      </c>
      <c r="AC31" s="62"/>
      <c r="AD31" s="62">
        <v>2500.0</v>
      </c>
      <c r="AE31" s="62"/>
      <c r="AF31" s="62">
        <v>6000.0</v>
      </c>
      <c r="AG31" s="62"/>
      <c r="AH31" s="62">
        <v>2000.0</v>
      </c>
      <c r="AI31" s="62"/>
      <c r="AJ31" s="62">
        <v>1000.0</v>
      </c>
      <c r="AK31" s="62"/>
      <c r="AL31" s="62">
        <v>5000.0</v>
      </c>
      <c r="AM31" s="62"/>
      <c r="AN31" s="62">
        <v>6000.0</v>
      </c>
      <c r="AO31" s="62"/>
      <c r="AP31" s="62">
        <v>3000.0</v>
      </c>
      <c r="AQ31" s="62"/>
      <c r="AR31" s="62">
        <v>1000.0</v>
      </c>
      <c r="AS31" s="62"/>
      <c r="AT31" s="62">
        <v>0.0</v>
      </c>
      <c r="AU31" s="62"/>
      <c r="AV31" s="62">
        <v>0.0</v>
      </c>
      <c r="AW31" s="62"/>
      <c r="AX31" s="62">
        <v>0.0</v>
      </c>
      <c r="AY31" s="62">
        <v>0.0</v>
      </c>
      <c r="AZ31" s="62">
        <v>0.0</v>
      </c>
    </row>
    <row r="32" ht="22.5" customHeight="1">
      <c r="A32" s="62" t="s">
        <v>116</v>
      </c>
      <c r="B32" s="62" t="s">
        <v>1121</v>
      </c>
      <c r="C32" s="62" t="s">
        <v>1122</v>
      </c>
      <c r="D32" s="62">
        <v>2023.0</v>
      </c>
      <c r="E32" s="63">
        <v>14.3065187754</v>
      </c>
      <c r="F32" s="62">
        <v>0.0</v>
      </c>
      <c r="G32" s="71"/>
      <c r="H32" s="71">
        <v>0.0</v>
      </c>
      <c r="I32" s="71"/>
      <c r="J32" s="71">
        <v>7000.0</v>
      </c>
      <c r="K32" s="64"/>
      <c r="L32" s="64" t="s">
        <v>1092</v>
      </c>
      <c r="M32" s="62"/>
      <c r="N32" s="62">
        <v>10000.0</v>
      </c>
      <c r="O32" s="62"/>
      <c r="P32" s="62">
        <v>2000.0</v>
      </c>
      <c r="Q32" s="62"/>
      <c r="R32" s="62">
        <v>0.0</v>
      </c>
      <c r="S32" s="62"/>
      <c r="T32" s="62">
        <v>8000.0</v>
      </c>
      <c r="U32" s="62"/>
      <c r="V32" s="62">
        <v>5000.0</v>
      </c>
      <c r="W32" s="62"/>
      <c r="X32" s="62">
        <v>2000.0</v>
      </c>
      <c r="Y32" s="62"/>
      <c r="Z32" s="62">
        <v>0.0</v>
      </c>
      <c r="AA32" s="62"/>
      <c r="AB32" s="62">
        <v>0.0</v>
      </c>
      <c r="AC32" s="62"/>
      <c r="AD32" s="62">
        <v>0.0</v>
      </c>
      <c r="AE32" s="62"/>
      <c r="AF32" s="62">
        <v>7000.0</v>
      </c>
      <c r="AG32" s="62"/>
      <c r="AH32" s="62">
        <v>5000.0</v>
      </c>
      <c r="AI32" s="62"/>
      <c r="AJ32" s="62">
        <v>4500.0</v>
      </c>
      <c r="AK32" s="62"/>
      <c r="AL32" s="62">
        <v>2000.0</v>
      </c>
      <c r="AM32" s="62"/>
      <c r="AN32" s="62">
        <v>5000.0</v>
      </c>
      <c r="AO32" s="62"/>
      <c r="AP32" s="62">
        <v>0.0</v>
      </c>
      <c r="AQ32" s="62"/>
      <c r="AR32" s="62">
        <v>0.0</v>
      </c>
      <c r="AS32" s="62"/>
      <c r="AT32" s="62">
        <v>0.0</v>
      </c>
      <c r="AU32" s="62"/>
      <c r="AV32" s="62">
        <v>4200.0</v>
      </c>
      <c r="AW32" s="62"/>
      <c r="AX32" s="62">
        <v>6000.0</v>
      </c>
      <c r="AY32" s="62">
        <v>3000.0</v>
      </c>
      <c r="AZ32" s="62">
        <v>0.0</v>
      </c>
    </row>
    <row r="33" ht="22.5" customHeight="1">
      <c r="A33" s="62" t="s">
        <v>234</v>
      </c>
      <c r="B33" s="62" t="s">
        <v>1153</v>
      </c>
      <c r="C33" s="62" t="s">
        <v>1154</v>
      </c>
      <c r="D33" s="62">
        <v>2026.0</v>
      </c>
      <c r="E33" s="63">
        <v>21.8680151198</v>
      </c>
      <c r="F33" s="62">
        <v>1000.0</v>
      </c>
      <c r="G33" s="71"/>
      <c r="H33" s="71">
        <v>0.0</v>
      </c>
      <c r="I33" s="71"/>
      <c r="J33" s="71">
        <v>25000.0</v>
      </c>
      <c r="K33" s="64"/>
      <c r="L33" s="64" t="s">
        <v>1092</v>
      </c>
      <c r="M33" s="62"/>
      <c r="N33" s="62">
        <v>9000.0</v>
      </c>
      <c r="O33" s="62"/>
      <c r="P33" s="62">
        <v>0.0</v>
      </c>
      <c r="Q33" s="62"/>
      <c r="R33" s="62">
        <v>0.0</v>
      </c>
      <c r="S33" s="62"/>
      <c r="T33" s="62">
        <v>10000.0</v>
      </c>
      <c r="U33" s="62"/>
      <c r="V33" s="62">
        <v>8000.0</v>
      </c>
      <c r="W33" s="62"/>
      <c r="X33" s="62">
        <v>2000.0</v>
      </c>
      <c r="Y33" s="62"/>
      <c r="Z33" s="62">
        <v>0.0</v>
      </c>
      <c r="AA33" s="62"/>
      <c r="AB33" s="62">
        <v>5000.0</v>
      </c>
      <c r="AC33" s="62"/>
      <c r="AD33" s="62">
        <v>5000.0</v>
      </c>
      <c r="AE33" s="62"/>
      <c r="AF33" s="62">
        <v>5000.0</v>
      </c>
      <c r="AG33" s="62"/>
      <c r="AH33" s="62">
        <v>2000.0</v>
      </c>
      <c r="AI33" s="62"/>
      <c r="AJ33" s="62">
        <v>3000.0</v>
      </c>
      <c r="AK33" s="62"/>
      <c r="AL33" s="62">
        <v>8000.0</v>
      </c>
      <c r="AM33" s="62"/>
      <c r="AN33" s="62">
        <v>12000.0</v>
      </c>
      <c r="AO33" s="62"/>
      <c r="AP33" s="62">
        <v>0.0</v>
      </c>
      <c r="AQ33" s="62"/>
      <c r="AR33" s="62">
        <v>0.0</v>
      </c>
      <c r="AS33" s="62"/>
      <c r="AT33" s="62">
        <v>0.0</v>
      </c>
      <c r="AU33" s="62"/>
      <c r="AV33" s="62">
        <v>0.0</v>
      </c>
      <c r="AW33" s="62"/>
      <c r="AX33" s="62">
        <v>0.0</v>
      </c>
      <c r="AY33" s="62">
        <v>0.0</v>
      </c>
      <c r="AZ33" s="62">
        <v>0.0</v>
      </c>
    </row>
    <row r="34" ht="22.5" customHeight="1">
      <c r="A34" s="62" t="s">
        <v>95</v>
      </c>
      <c r="B34" s="62" t="s">
        <v>1131</v>
      </c>
      <c r="C34" s="62" t="s">
        <v>1132</v>
      </c>
      <c r="D34" s="62">
        <v>2025.0</v>
      </c>
      <c r="E34" s="63">
        <v>27.6824254054</v>
      </c>
      <c r="F34" s="62">
        <v>0.0</v>
      </c>
      <c r="G34" s="71"/>
      <c r="H34" s="71">
        <v>6000.0</v>
      </c>
      <c r="I34" s="71"/>
      <c r="J34" s="71">
        <v>8000.0</v>
      </c>
      <c r="K34" s="64"/>
      <c r="L34" s="64" t="s">
        <v>1092</v>
      </c>
      <c r="M34" s="62"/>
      <c r="N34" s="62">
        <v>0.0</v>
      </c>
      <c r="O34" s="62"/>
      <c r="P34" s="62">
        <v>15000.0</v>
      </c>
      <c r="Q34" s="62"/>
      <c r="R34" s="62">
        <v>15000.0</v>
      </c>
      <c r="S34" s="62"/>
      <c r="T34" s="62">
        <v>15000.0</v>
      </c>
      <c r="U34" s="62"/>
      <c r="V34" s="62">
        <v>8000.0</v>
      </c>
      <c r="W34" s="62"/>
      <c r="X34" s="62">
        <v>0.0</v>
      </c>
      <c r="Y34" s="62"/>
      <c r="Z34" s="62">
        <v>0.0</v>
      </c>
      <c r="AA34" s="62"/>
      <c r="AB34" s="62">
        <v>3000.0</v>
      </c>
      <c r="AC34" s="62"/>
      <c r="AD34" s="62">
        <v>6000.0</v>
      </c>
      <c r="AE34" s="62"/>
      <c r="AF34" s="62">
        <v>12000.0</v>
      </c>
      <c r="AG34" s="62"/>
      <c r="AH34" s="62">
        <v>8000.0</v>
      </c>
      <c r="AI34" s="62"/>
      <c r="AJ34" s="62">
        <v>0.0</v>
      </c>
      <c r="AK34" s="62"/>
      <c r="AL34" s="62">
        <v>3000.0</v>
      </c>
      <c r="AM34" s="62"/>
      <c r="AN34" s="62">
        <v>12000.0</v>
      </c>
      <c r="AO34" s="62"/>
      <c r="AP34" s="62">
        <v>18000.0</v>
      </c>
      <c r="AQ34" s="62"/>
      <c r="AR34" s="62">
        <v>9000.0</v>
      </c>
      <c r="AS34" s="62"/>
      <c r="AT34" s="62">
        <v>0.0</v>
      </c>
      <c r="AU34" s="62"/>
      <c r="AV34" s="62">
        <v>0.0</v>
      </c>
      <c r="AW34" s="62"/>
      <c r="AX34" s="62">
        <v>0.0</v>
      </c>
      <c r="AY34" s="62">
        <v>0.0</v>
      </c>
      <c r="AZ34" s="62">
        <v>0.0</v>
      </c>
    </row>
    <row r="35" ht="22.5" customHeight="1">
      <c r="A35" s="62" t="s">
        <v>234</v>
      </c>
      <c r="B35" s="62" t="s">
        <v>1159</v>
      </c>
      <c r="C35" s="62" t="s">
        <v>1160</v>
      </c>
      <c r="D35" s="62">
        <v>2027.0</v>
      </c>
      <c r="E35" s="63">
        <v>66.6681395928</v>
      </c>
      <c r="F35" s="62">
        <v>0.0</v>
      </c>
      <c r="G35" s="71"/>
      <c r="H35" s="71">
        <v>0.0</v>
      </c>
      <c r="I35" s="71"/>
      <c r="J35" s="71">
        <v>0.0</v>
      </c>
      <c r="K35" s="64"/>
      <c r="L35" s="64" t="s">
        <v>1092</v>
      </c>
      <c r="M35" s="62"/>
      <c r="N35" s="62">
        <v>0.0</v>
      </c>
      <c r="O35" s="62"/>
      <c r="P35" s="62">
        <v>0.0</v>
      </c>
      <c r="Q35" s="62"/>
      <c r="R35" s="62">
        <v>0.0</v>
      </c>
      <c r="S35" s="62"/>
      <c r="T35" s="62">
        <v>0.0</v>
      </c>
      <c r="U35" s="62"/>
      <c r="V35" s="62">
        <v>0.0</v>
      </c>
      <c r="W35" s="62"/>
      <c r="X35" s="62">
        <v>10000.0</v>
      </c>
      <c r="Y35" s="62"/>
      <c r="Z35" s="62">
        <v>25000.0</v>
      </c>
      <c r="AA35" s="62"/>
      <c r="AB35" s="62">
        <v>15000.0</v>
      </c>
      <c r="AC35" s="62"/>
      <c r="AD35" s="62">
        <v>0.0</v>
      </c>
      <c r="AE35" s="62"/>
      <c r="AF35" s="62">
        <v>0.0</v>
      </c>
      <c r="AG35" s="62"/>
      <c r="AH35" s="62">
        <v>0.0</v>
      </c>
      <c r="AI35" s="62"/>
      <c r="AJ35" s="62">
        <v>0.0</v>
      </c>
      <c r="AK35" s="62"/>
      <c r="AL35" s="62">
        <v>10000.0</v>
      </c>
      <c r="AM35" s="62"/>
      <c r="AN35" s="62">
        <v>10000.0</v>
      </c>
      <c r="AO35" s="62"/>
      <c r="AP35" s="62">
        <v>20000.0</v>
      </c>
      <c r="AQ35" s="62"/>
      <c r="AR35" s="62">
        <v>15000.0</v>
      </c>
      <c r="AS35" s="62"/>
      <c r="AT35" s="62">
        <v>12000.0</v>
      </c>
      <c r="AU35" s="62"/>
      <c r="AV35" s="62">
        <v>0.0</v>
      </c>
      <c r="AW35" s="62"/>
      <c r="AX35" s="62">
        <v>0.0</v>
      </c>
      <c r="AY35" s="62">
        <v>0.0</v>
      </c>
      <c r="AZ35" s="62">
        <v>0.0</v>
      </c>
    </row>
    <row r="36" ht="22.5" customHeight="1">
      <c r="A36" s="62" t="s">
        <v>95</v>
      </c>
      <c r="B36" s="62" t="s">
        <v>1103</v>
      </c>
      <c r="C36" s="62" t="s">
        <v>1104</v>
      </c>
      <c r="D36" s="62">
        <v>2022.0</v>
      </c>
      <c r="E36" s="63">
        <v>16.8565995196</v>
      </c>
      <c r="F36" s="62">
        <v>3000.0</v>
      </c>
      <c r="G36" s="71"/>
      <c r="H36" s="71">
        <v>3000.0</v>
      </c>
      <c r="I36" s="71"/>
      <c r="J36" s="71">
        <v>0.0</v>
      </c>
      <c r="K36" s="64"/>
      <c r="L36" s="64" t="s">
        <v>1092</v>
      </c>
      <c r="M36" s="62"/>
      <c r="N36" s="62">
        <v>0.0</v>
      </c>
      <c r="O36" s="62"/>
      <c r="P36" s="62">
        <v>0.0</v>
      </c>
      <c r="Q36" s="62"/>
      <c r="R36" s="62">
        <v>0.0</v>
      </c>
      <c r="S36" s="62"/>
      <c r="T36" s="62">
        <v>0.0</v>
      </c>
      <c r="U36" s="62"/>
      <c r="V36" s="62">
        <v>0.0</v>
      </c>
      <c r="W36" s="62"/>
      <c r="X36" s="62">
        <v>0.0</v>
      </c>
      <c r="Y36" s="62"/>
      <c r="Z36" s="62">
        <v>0.0</v>
      </c>
      <c r="AA36" s="62"/>
      <c r="AB36" s="62">
        <v>6000.0</v>
      </c>
      <c r="AC36" s="62"/>
      <c r="AD36" s="62">
        <v>5000.0</v>
      </c>
      <c r="AE36" s="62"/>
      <c r="AF36" s="62">
        <v>7000.0</v>
      </c>
      <c r="AG36" s="62"/>
      <c r="AH36" s="62">
        <v>3000.0</v>
      </c>
      <c r="AI36" s="62"/>
      <c r="AJ36" s="62">
        <v>1000.0</v>
      </c>
      <c r="AK36" s="62"/>
      <c r="AL36" s="62">
        <v>6000.0</v>
      </c>
      <c r="AM36" s="62"/>
      <c r="AN36" s="62">
        <v>12000.0</v>
      </c>
      <c r="AO36" s="62"/>
      <c r="AP36" s="62">
        <v>0.0</v>
      </c>
      <c r="AQ36" s="62"/>
      <c r="AR36" s="62">
        <v>0.0</v>
      </c>
      <c r="AS36" s="62"/>
      <c r="AT36" s="62">
        <v>7000.0</v>
      </c>
      <c r="AU36" s="62"/>
      <c r="AV36" s="62">
        <v>5000.0</v>
      </c>
      <c r="AW36" s="62"/>
      <c r="AX36" s="62">
        <v>2000.0</v>
      </c>
      <c r="AY36" s="62">
        <v>0.0</v>
      </c>
      <c r="AZ36" s="62">
        <v>0.0</v>
      </c>
    </row>
    <row r="37" ht="22.5" customHeight="1">
      <c r="A37" s="62" t="s">
        <v>95</v>
      </c>
      <c r="B37" s="62" t="s">
        <v>1117</v>
      </c>
      <c r="C37" s="62" t="s">
        <v>1118</v>
      </c>
      <c r="D37" s="62">
        <v>2023.0</v>
      </c>
      <c r="E37" s="63">
        <v>20.6444992475</v>
      </c>
      <c r="F37" s="62">
        <v>12000.0</v>
      </c>
      <c r="G37" s="71"/>
      <c r="H37" s="71">
        <v>8000.0</v>
      </c>
      <c r="I37" s="71"/>
      <c r="J37" s="71">
        <v>7000.0</v>
      </c>
      <c r="K37" s="64"/>
      <c r="L37" s="64" t="s">
        <v>1092</v>
      </c>
      <c r="M37" s="62"/>
      <c r="N37" s="62">
        <v>16000.0</v>
      </c>
      <c r="O37" s="62"/>
      <c r="P37" s="62">
        <v>10000.0</v>
      </c>
      <c r="Q37" s="62"/>
      <c r="R37" s="62">
        <v>7000.0</v>
      </c>
      <c r="S37" s="62"/>
      <c r="T37" s="62">
        <v>10000.0</v>
      </c>
      <c r="U37" s="62"/>
      <c r="V37" s="62">
        <v>5000.0</v>
      </c>
      <c r="W37" s="62"/>
      <c r="X37" s="62">
        <v>0.0</v>
      </c>
      <c r="Y37" s="62"/>
      <c r="Z37" s="62">
        <v>0.0</v>
      </c>
      <c r="AA37" s="62"/>
      <c r="AB37" s="62">
        <v>8000.0</v>
      </c>
      <c r="AC37" s="62"/>
      <c r="AD37" s="62">
        <v>8000.0</v>
      </c>
      <c r="AE37" s="62"/>
      <c r="AF37" s="62">
        <v>5000.0</v>
      </c>
      <c r="AG37" s="62"/>
      <c r="AH37" s="62">
        <v>3000.0</v>
      </c>
      <c r="AI37" s="62"/>
      <c r="AJ37" s="62">
        <v>3000.0</v>
      </c>
      <c r="AK37" s="62"/>
      <c r="AL37" s="62">
        <v>8000.0</v>
      </c>
      <c r="AM37" s="62"/>
      <c r="AN37" s="62">
        <v>12000.0</v>
      </c>
      <c r="AO37" s="62"/>
      <c r="AP37" s="62">
        <v>8000.0</v>
      </c>
      <c r="AQ37" s="62"/>
      <c r="AR37" s="62">
        <v>0.0</v>
      </c>
      <c r="AS37" s="62"/>
      <c r="AT37" s="62">
        <v>0.0</v>
      </c>
      <c r="AU37" s="62"/>
      <c r="AV37" s="62">
        <v>8000.0</v>
      </c>
      <c r="AW37" s="62"/>
      <c r="AX37" s="62">
        <v>5000.0</v>
      </c>
      <c r="AY37" s="62">
        <v>5000.0</v>
      </c>
      <c r="AZ37" s="62">
        <v>0.0</v>
      </c>
    </row>
    <row r="38" ht="22.5" customHeight="1">
      <c r="A38" s="62" t="s">
        <v>246</v>
      </c>
      <c r="B38" s="62" t="s">
        <v>1123</v>
      </c>
      <c r="C38" s="62" t="s">
        <v>1143</v>
      </c>
      <c r="D38" s="62">
        <v>2026.0</v>
      </c>
      <c r="E38" s="63">
        <v>34.1928592778</v>
      </c>
      <c r="F38" s="62">
        <v>0.0</v>
      </c>
      <c r="G38" s="71"/>
      <c r="H38" s="71">
        <v>0.0</v>
      </c>
      <c r="I38" s="71"/>
      <c r="J38" s="71">
        <v>0.0</v>
      </c>
      <c r="K38" s="64"/>
      <c r="L38" s="64" t="s">
        <v>1092</v>
      </c>
      <c r="M38" s="62"/>
      <c r="N38" s="62">
        <v>0.0</v>
      </c>
      <c r="O38" s="62"/>
      <c r="P38" s="62">
        <v>0.0</v>
      </c>
      <c r="Q38" s="62"/>
      <c r="R38" s="62">
        <v>0.0</v>
      </c>
      <c r="S38" s="62"/>
      <c r="T38" s="62">
        <v>0.0</v>
      </c>
      <c r="U38" s="62"/>
      <c r="V38" s="62">
        <v>0.0</v>
      </c>
      <c r="W38" s="62"/>
      <c r="X38" s="62">
        <v>0.0</v>
      </c>
      <c r="Y38" s="62"/>
      <c r="Z38" s="62">
        <v>0.0</v>
      </c>
      <c r="AA38" s="62"/>
      <c r="AB38" s="62">
        <v>0.0</v>
      </c>
      <c r="AC38" s="62"/>
      <c r="AD38" s="62">
        <v>0.0</v>
      </c>
      <c r="AE38" s="62"/>
      <c r="AF38" s="62">
        <v>13000.0</v>
      </c>
      <c r="AG38" s="62"/>
      <c r="AH38" s="62">
        <v>6000.0</v>
      </c>
      <c r="AI38" s="62"/>
      <c r="AJ38" s="62">
        <v>10000.0</v>
      </c>
      <c r="AK38" s="62"/>
      <c r="AL38" s="62">
        <v>4000.0</v>
      </c>
      <c r="AM38" s="62"/>
      <c r="AN38" s="62">
        <v>0.0</v>
      </c>
      <c r="AO38" s="62"/>
      <c r="AP38" s="62">
        <v>2000.0</v>
      </c>
      <c r="AQ38" s="62"/>
      <c r="AR38" s="62">
        <v>6000.0</v>
      </c>
      <c r="AS38" s="62"/>
      <c r="AT38" s="62">
        <v>7500.0</v>
      </c>
      <c r="AU38" s="62"/>
      <c r="AV38" s="62">
        <v>10000.0</v>
      </c>
      <c r="AW38" s="62"/>
      <c r="AX38" s="62">
        <v>0.0</v>
      </c>
      <c r="AY38" s="62">
        <v>5000.0</v>
      </c>
      <c r="AZ38" s="62">
        <v>20000.0</v>
      </c>
    </row>
    <row r="39" ht="22.5" customHeight="1">
      <c r="A39" s="62" t="s">
        <v>246</v>
      </c>
      <c r="B39" s="62" t="s">
        <v>1113</v>
      </c>
      <c r="C39" s="62" t="s">
        <v>1114</v>
      </c>
      <c r="D39" s="62">
        <v>2023.0</v>
      </c>
      <c r="E39" s="63">
        <v>42.8989254987</v>
      </c>
      <c r="F39" s="62">
        <v>0.0</v>
      </c>
      <c r="G39" s="71"/>
      <c r="H39" s="71">
        <v>0.0</v>
      </c>
      <c r="I39" s="71"/>
      <c r="J39" s="71">
        <v>0.0</v>
      </c>
      <c r="K39" s="64"/>
      <c r="L39" s="64" t="s">
        <v>1092</v>
      </c>
      <c r="M39" s="62"/>
      <c r="N39" s="62">
        <v>12000.0</v>
      </c>
      <c r="O39" s="62"/>
      <c r="P39" s="62">
        <v>10000.0</v>
      </c>
      <c r="Q39" s="62"/>
      <c r="R39" s="62">
        <v>5000.0</v>
      </c>
      <c r="S39" s="62"/>
      <c r="T39" s="62">
        <v>4000.0</v>
      </c>
      <c r="U39" s="62"/>
      <c r="V39" s="62">
        <v>0.0</v>
      </c>
      <c r="W39" s="62"/>
      <c r="X39" s="62">
        <v>0.0</v>
      </c>
      <c r="Y39" s="62"/>
      <c r="Z39" s="62">
        <v>0.0</v>
      </c>
      <c r="AA39" s="62"/>
      <c r="AB39" s="62">
        <v>0.0</v>
      </c>
      <c r="AC39" s="62"/>
      <c r="AD39" s="62">
        <v>0.0</v>
      </c>
      <c r="AE39" s="62"/>
      <c r="AF39" s="62">
        <v>25000.0</v>
      </c>
      <c r="AG39" s="62"/>
      <c r="AH39" s="62">
        <v>12000.0</v>
      </c>
      <c r="AI39" s="62"/>
      <c r="AJ39" s="62">
        <v>20000.0</v>
      </c>
      <c r="AK39" s="62"/>
      <c r="AL39" s="62">
        <v>8000.0</v>
      </c>
      <c r="AM39" s="62"/>
      <c r="AN39" s="62">
        <v>0.0</v>
      </c>
      <c r="AO39" s="62"/>
      <c r="AP39" s="62">
        <v>0.0</v>
      </c>
      <c r="AQ39" s="62"/>
      <c r="AR39" s="62">
        <v>0.0</v>
      </c>
      <c r="AS39" s="62"/>
      <c r="AT39" s="62">
        <v>0.0</v>
      </c>
      <c r="AU39" s="62"/>
      <c r="AV39" s="62">
        <v>0.0</v>
      </c>
      <c r="AW39" s="62"/>
      <c r="AX39" s="62">
        <v>12000.0</v>
      </c>
      <c r="AY39" s="62">
        <v>0.0</v>
      </c>
      <c r="AZ39" s="62">
        <v>0.0</v>
      </c>
    </row>
    <row r="40" ht="22.5" customHeight="1">
      <c r="A40" s="62" t="s">
        <v>246</v>
      </c>
      <c r="B40" s="62" t="s">
        <v>1090</v>
      </c>
      <c r="C40" s="62" t="s">
        <v>1091</v>
      </c>
      <c r="D40" s="62">
        <v>2021.0</v>
      </c>
      <c r="E40" s="63">
        <v>22.9580921452</v>
      </c>
      <c r="F40" s="62">
        <v>0.0</v>
      </c>
      <c r="G40" s="71"/>
      <c r="H40" s="71">
        <v>0.0</v>
      </c>
      <c r="I40" s="71"/>
      <c r="J40" s="71">
        <v>0.0</v>
      </c>
      <c r="K40" s="64"/>
      <c r="L40" s="64" t="s">
        <v>1092</v>
      </c>
      <c r="M40" s="62"/>
      <c r="N40" s="62">
        <v>6000.0</v>
      </c>
      <c r="O40" s="62"/>
      <c r="P40" s="62">
        <v>8000.0</v>
      </c>
      <c r="Q40" s="62"/>
      <c r="R40" s="62">
        <v>7000.0</v>
      </c>
      <c r="S40" s="62"/>
      <c r="T40" s="62">
        <v>3000.0</v>
      </c>
      <c r="U40" s="62"/>
      <c r="V40" s="62">
        <v>0.0</v>
      </c>
      <c r="W40" s="62"/>
      <c r="X40" s="62">
        <v>0.0</v>
      </c>
      <c r="Y40" s="62"/>
      <c r="Z40" s="62">
        <v>0.0</v>
      </c>
      <c r="AA40" s="62"/>
      <c r="AB40" s="62">
        <v>12000.0</v>
      </c>
      <c r="AC40" s="62"/>
      <c r="AD40" s="62">
        <v>0.0</v>
      </c>
      <c r="AE40" s="62"/>
      <c r="AF40" s="62">
        <v>12000.0</v>
      </c>
      <c r="AG40" s="62"/>
      <c r="AH40" s="62">
        <v>10000.0</v>
      </c>
      <c r="AI40" s="62"/>
      <c r="AJ40" s="62">
        <v>8000.0</v>
      </c>
      <c r="AK40" s="62"/>
      <c r="AL40" s="62">
        <v>6000.0</v>
      </c>
      <c r="AM40" s="62"/>
      <c r="AN40" s="62">
        <v>0.0</v>
      </c>
      <c r="AO40" s="62"/>
      <c r="AP40" s="62">
        <v>2000.0</v>
      </c>
      <c r="AQ40" s="62"/>
      <c r="AR40" s="62">
        <v>4000.0</v>
      </c>
      <c r="AS40" s="62"/>
      <c r="AT40" s="62">
        <v>4000.0</v>
      </c>
      <c r="AU40" s="62"/>
      <c r="AV40" s="62">
        <v>4000.0</v>
      </c>
      <c r="AW40" s="62"/>
      <c r="AX40" s="62">
        <v>4000.0</v>
      </c>
      <c r="AY40" s="62">
        <v>0.0</v>
      </c>
      <c r="AZ40" s="62">
        <v>0.0</v>
      </c>
    </row>
    <row r="41" ht="22.5" customHeight="1">
      <c r="A41" s="62" t="s">
        <v>246</v>
      </c>
      <c r="B41" s="62" t="s">
        <v>1164</v>
      </c>
      <c r="C41" s="62" t="s">
        <v>1165</v>
      </c>
      <c r="D41" s="62" t="s">
        <v>1163</v>
      </c>
      <c r="E41" s="63">
        <v>15.4976133198</v>
      </c>
      <c r="F41" s="62">
        <v>0.0</v>
      </c>
      <c r="G41" s="71"/>
      <c r="H41" s="71">
        <v>0.0</v>
      </c>
      <c r="I41" s="71"/>
      <c r="J41" s="71">
        <v>0.0</v>
      </c>
      <c r="K41" s="64"/>
      <c r="L41" s="64" t="s">
        <v>1092</v>
      </c>
      <c r="M41" s="62"/>
      <c r="N41" s="62">
        <v>6000.0</v>
      </c>
      <c r="O41" s="62"/>
      <c r="P41" s="62">
        <v>8000.0</v>
      </c>
      <c r="Q41" s="62"/>
      <c r="R41" s="62">
        <v>7000.0</v>
      </c>
      <c r="S41" s="62"/>
      <c r="T41" s="62">
        <v>3000.0</v>
      </c>
      <c r="U41" s="62"/>
      <c r="V41" s="62">
        <v>0.0</v>
      </c>
      <c r="W41" s="62"/>
      <c r="X41" s="62">
        <v>0.0</v>
      </c>
      <c r="Y41" s="62"/>
      <c r="Z41" s="62">
        <v>0.0</v>
      </c>
      <c r="AA41" s="62"/>
      <c r="AB41" s="62">
        <v>0.0</v>
      </c>
      <c r="AC41" s="62"/>
      <c r="AD41" s="62">
        <v>0.0</v>
      </c>
      <c r="AE41" s="62"/>
      <c r="AF41" s="62">
        <v>10000.0</v>
      </c>
      <c r="AG41" s="62"/>
      <c r="AH41" s="62">
        <v>2000.0</v>
      </c>
      <c r="AI41" s="62"/>
      <c r="AJ41" s="62">
        <v>0.0</v>
      </c>
      <c r="AK41" s="62"/>
      <c r="AL41" s="62">
        <v>0.0</v>
      </c>
      <c r="AM41" s="62"/>
      <c r="AN41" s="62">
        <v>0.0</v>
      </c>
      <c r="AO41" s="62"/>
      <c r="AP41" s="62">
        <v>0.0</v>
      </c>
      <c r="AQ41" s="62"/>
      <c r="AR41" s="62">
        <v>0.0</v>
      </c>
      <c r="AS41" s="62"/>
      <c r="AT41" s="62">
        <v>0.0</v>
      </c>
      <c r="AU41" s="62"/>
      <c r="AV41" s="62">
        <v>0.0</v>
      </c>
      <c r="AW41" s="62"/>
      <c r="AX41" s="62">
        <v>0.0</v>
      </c>
      <c r="AY41" s="62">
        <v>0.0</v>
      </c>
      <c r="AZ41" s="62">
        <v>0.0</v>
      </c>
    </row>
    <row r="42" ht="22.5" customHeight="1">
      <c r="A42" s="62" t="s">
        <v>246</v>
      </c>
      <c r="B42" s="62" t="s">
        <v>1144</v>
      </c>
      <c r="C42" s="62" t="s">
        <v>1145</v>
      </c>
      <c r="D42" s="62">
        <v>2026.0</v>
      </c>
      <c r="E42" s="63">
        <v>35.3952011094</v>
      </c>
      <c r="F42" s="62">
        <v>0.0</v>
      </c>
      <c r="G42" s="71"/>
      <c r="H42" s="71">
        <v>0.0</v>
      </c>
      <c r="I42" s="71"/>
      <c r="J42" s="71">
        <v>0.0</v>
      </c>
      <c r="K42" s="64"/>
      <c r="L42" s="64" t="s">
        <v>1092</v>
      </c>
      <c r="M42" s="62"/>
      <c r="N42" s="62">
        <v>12000.0</v>
      </c>
      <c r="O42" s="62"/>
      <c r="P42" s="62">
        <v>10000.0</v>
      </c>
      <c r="Q42" s="62"/>
      <c r="R42" s="62">
        <v>5000.0</v>
      </c>
      <c r="S42" s="62"/>
      <c r="T42" s="62">
        <v>4000.0</v>
      </c>
      <c r="U42" s="62"/>
      <c r="V42" s="62">
        <v>0.0</v>
      </c>
      <c r="W42" s="62"/>
      <c r="X42" s="62">
        <v>0.0</v>
      </c>
      <c r="Y42" s="62"/>
      <c r="Z42" s="62">
        <v>0.0</v>
      </c>
      <c r="AA42" s="62"/>
      <c r="AB42" s="62">
        <v>0.0</v>
      </c>
      <c r="AC42" s="62"/>
      <c r="AD42" s="62">
        <v>0.0</v>
      </c>
      <c r="AE42" s="62"/>
      <c r="AF42" s="62">
        <v>0.0</v>
      </c>
      <c r="AG42" s="62"/>
      <c r="AH42" s="62">
        <v>0.0</v>
      </c>
      <c r="AI42" s="62"/>
      <c r="AJ42" s="62">
        <v>7000.0</v>
      </c>
      <c r="AK42" s="62"/>
      <c r="AL42" s="62">
        <v>8000.0</v>
      </c>
      <c r="AM42" s="62"/>
      <c r="AN42" s="62">
        <v>5000.0</v>
      </c>
      <c r="AO42" s="62"/>
      <c r="AP42" s="62">
        <v>0.0</v>
      </c>
      <c r="AQ42" s="62"/>
      <c r="AR42" s="62">
        <v>0.0</v>
      </c>
      <c r="AS42" s="62"/>
      <c r="AT42" s="62">
        <v>0.0</v>
      </c>
      <c r="AU42" s="62"/>
      <c r="AV42" s="62">
        <v>0.0</v>
      </c>
      <c r="AW42" s="62"/>
      <c r="AX42" s="62">
        <v>0.0</v>
      </c>
      <c r="AY42" s="62">
        <v>0.0</v>
      </c>
      <c r="AZ42" s="62">
        <v>0.0</v>
      </c>
    </row>
    <row r="43" ht="22.5" customHeight="1">
      <c r="A43" s="62" t="s">
        <v>246</v>
      </c>
      <c r="B43" s="62" t="s">
        <v>1097</v>
      </c>
      <c r="C43" s="62" t="s">
        <v>1098</v>
      </c>
      <c r="D43" s="62">
        <v>2022.0</v>
      </c>
      <c r="E43" s="63">
        <v>17.0329955136</v>
      </c>
      <c r="F43" s="62">
        <v>0.0</v>
      </c>
      <c r="G43" s="71"/>
      <c r="H43" s="71">
        <v>0.0</v>
      </c>
      <c r="I43" s="71"/>
      <c r="J43" s="71">
        <v>9000.0</v>
      </c>
      <c r="K43" s="64"/>
      <c r="L43" s="64" t="s">
        <v>1092</v>
      </c>
      <c r="M43" s="62"/>
      <c r="N43" s="62">
        <v>9000.0</v>
      </c>
      <c r="O43" s="62"/>
      <c r="P43" s="62">
        <v>5000.0</v>
      </c>
      <c r="Q43" s="62"/>
      <c r="R43" s="62">
        <v>0.0</v>
      </c>
      <c r="S43" s="62"/>
      <c r="T43" s="62">
        <v>0.0</v>
      </c>
      <c r="U43" s="62"/>
      <c r="V43" s="62">
        <v>0.0</v>
      </c>
      <c r="W43" s="62"/>
      <c r="X43" s="62">
        <v>0.0</v>
      </c>
      <c r="Y43" s="62"/>
      <c r="Z43" s="62">
        <v>5000.0</v>
      </c>
      <c r="AA43" s="62"/>
      <c r="AB43" s="62">
        <v>2000.0</v>
      </c>
      <c r="AC43" s="62"/>
      <c r="AD43" s="62">
        <v>12000.0</v>
      </c>
      <c r="AE43" s="62"/>
      <c r="AF43" s="62">
        <v>17300.0</v>
      </c>
      <c r="AG43" s="62"/>
      <c r="AH43" s="62">
        <v>4000.0</v>
      </c>
      <c r="AI43" s="62"/>
      <c r="AJ43" s="62">
        <v>5000.0</v>
      </c>
      <c r="AK43" s="62"/>
      <c r="AL43" s="62">
        <v>0.0</v>
      </c>
      <c r="AM43" s="62"/>
      <c r="AN43" s="62">
        <v>0.0</v>
      </c>
      <c r="AO43" s="62"/>
      <c r="AP43" s="62">
        <v>0.0</v>
      </c>
      <c r="AQ43" s="62"/>
      <c r="AR43" s="62">
        <v>0.0</v>
      </c>
      <c r="AS43" s="62"/>
      <c r="AT43" s="62">
        <v>7500.0</v>
      </c>
      <c r="AU43" s="62"/>
      <c r="AV43" s="62">
        <v>8000.0</v>
      </c>
      <c r="AW43" s="62"/>
      <c r="AX43" s="62">
        <v>8000.0</v>
      </c>
      <c r="AY43" s="62">
        <v>0.0</v>
      </c>
      <c r="AZ43" s="62">
        <v>0.0</v>
      </c>
    </row>
    <row r="44" ht="22.5" customHeight="1">
      <c r="A44" s="62" t="s">
        <v>116</v>
      </c>
      <c r="B44" s="62" t="s">
        <v>1192</v>
      </c>
      <c r="C44" s="62" t="s">
        <v>1193</v>
      </c>
      <c r="D44" s="62" t="s">
        <v>1163</v>
      </c>
      <c r="E44" s="63">
        <v>5.94360357263</v>
      </c>
      <c r="F44" s="62">
        <v>0.0</v>
      </c>
      <c r="G44" s="71"/>
      <c r="H44" s="71">
        <v>4000.0</v>
      </c>
      <c r="I44" s="71"/>
      <c r="J44" s="71">
        <v>6000.0</v>
      </c>
      <c r="K44" s="64"/>
      <c r="L44" s="64" t="s">
        <v>1092</v>
      </c>
      <c r="M44" s="62"/>
      <c r="N44" s="62">
        <v>6000.0</v>
      </c>
      <c r="O44" s="62"/>
      <c r="P44" s="62">
        <v>2000.0</v>
      </c>
      <c r="Q44" s="62"/>
      <c r="R44" s="62">
        <v>0.0</v>
      </c>
      <c r="S44" s="62"/>
      <c r="T44" s="62">
        <v>0.0</v>
      </c>
      <c r="U44" s="62"/>
      <c r="V44" s="62">
        <v>0.0</v>
      </c>
      <c r="W44" s="62"/>
      <c r="X44" s="62">
        <v>0.0</v>
      </c>
      <c r="Y44" s="62"/>
      <c r="Z44" s="62">
        <v>0.0</v>
      </c>
      <c r="AA44" s="62"/>
      <c r="AB44" s="62">
        <v>0.0</v>
      </c>
      <c r="AC44" s="62"/>
      <c r="AD44" s="62">
        <v>3500.0</v>
      </c>
      <c r="AE44" s="62"/>
      <c r="AF44" s="62">
        <v>1500.0</v>
      </c>
      <c r="AG44" s="62"/>
      <c r="AH44" s="62">
        <v>3000.0</v>
      </c>
      <c r="AI44" s="62"/>
      <c r="AJ44" s="62">
        <v>4500.0</v>
      </c>
      <c r="AK44" s="62"/>
      <c r="AL44" s="62">
        <v>4000.0</v>
      </c>
      <c r="AM44" s="62"/>
      <c r="AN44" s="62">
        <v>2500.0</v>
      </c>
      <c r="AO44" s="62"/>
      <c r="AP44" s="62">
        <v>0.0</v>
      </c>
      <c r="AQ44" s="62"/>
      <c r="AR44" s="62">
        <v>0.0</v>
      </c>
      <c r="AS44" s="62"/>
      <c r="AT44" s="62">
        <v>0.0</v>
      </c>
      <c r="AU44" s="62"/>
      <c r="AV44" s="62">
        <v>0.0</v>
      </c>
      <c r="AW44" s="62"/>
      <c r="AX44" s="62">
        <v>0.0</v>
      </c>
      <c r="AY44" s="62">
        <v>0.0</v>
      </c>
      <c r="AZ44" s="62">
        <v>0.0</v>
      </c>
    </row>
    <row r="45" ht="22.5" customHeight="1">
      <c r="A45" s="62" t="s">
        <v>116</v>
      </c>
      <c r="B45" s="62" t="s">
        <v>1188</v>
      </c>
      <c r="C45" s="62" t="s">
        <v>1189</v>
      </c>
      <c r="D45" s="62" t="s">
        <v>1163</v>
      </c>
      <c r="E45" s="63">
        <v>14.2735043351</v>
      </c>
      <c r="F45" s="62">
        <v>0.0</v>
      </c>
      <c r="G45" s="71"/>
      <c r="H45" s="71">
        <v>4000.0</v>
      </c>
      <c r="I45" s="71"/>
      <c r="J45" s="71">
        <v>6000.0</v>
      </c>
      <c r="K45" s="64"/>
      <c r="L45" s="64" t="s">
        <v>1092</v>
      </c>
      <c r="M45" s="62"/>
      <c r="N45" s="62">
        <v>6000.0</v>
      </c>
      <c r="O45" s="62"/>
      <c r="P45" s="62">
        <v>2000.0</v>
      </c>
      <c r="Q45" s="62"/>
      <c r="R45" s="62">
        <v>0.0</v>
      </c>
      <c r="S45" s="62"/>
      <c r="T45" s="62">
        <v>0.0</v>
      </c>
      <c r="U45" s="62"/>
      <c r="V45" s="62">
        <v>0.0</v>
      </c>
      <c r="W45" s="62"/>
      <c r="X45" s="62">
        <v>0.0</v>
      </c>
      <c r="Y45" s="62"/>
      <c r="Z45" s="62">
        <v>0.0</v>
      </c>
      <c r="AA45" s="62"/>
      <c r="AB45" s="62">
        <v>1000.0</v>
      </c>
      <c r="AC45" s="62"/>
      <c r="AD45" s="62">
        <v>3500.0</v>
      </c>
      <c r="AE45" s="62"/>
      <c r="AF45" s="62">
        <v>8000.0</v>
      </c>
      <c r="AG45" s="62"/>
      <c r="AH45" s="62">
        <v>3000.0</v>
      </c>
      <c r="AI45" s="62"/>
      <c r="AJ45" s="62">
        <v>2000.0</v>
      </c>
      <c r="AK45" s="62"/>
      <c r="AL45" s="62">
        <v>0.0</v>
      </c>
      <c r="AM45" s="62"/>
      <c r="AN45" s="62">
        <v>2500.0</v>
      </c>
      <c r="AO45" s="62"/>
      <c r="AP45" s="62">
        <v>0.0</v>
      </c>
      <c r="AQ45" s="62"/>
      <c r="AR45" s="62">
        <v>0.0</v>
      </c>
      <c r="AS45" s="62"/>
      <c r="AT45" s="62">
        <v>0.0</v>
      </c>
      <c r="AU45" s="62"/>
      <c r="AV45" s="62">
        <v>0.0</v>
      </c>
      <c r="AW45" s="62"/>
      <c r="AX45" s="62">
        <v>0.0</v>
      </c>
      <c r="AY45" s="62">
        <v>0.0</v>
      </c>
      <c r="AZ45" s="62">
        <v>0.0</v>
      </c>
    </row>
    <row r="46" ht="22.5" customHeight="1">
      <c r="A46" s="62" t="s">
        <v>116</v>
      </c>
      <c r="B46" s="62" t="s">
        <v>1194</v>
      </c>
      <c r="C46" s="62" t="s">
        <v>1195</v>
      </c>
      <c r="D46" s="62" t="s">
        <v>1163</v>
      </c>
      <c r="E46" s="63">
        <v>3.03126572495</v>
      </c>
      <c r="F46" s="62">
        <v>0.0</v>
      </c>
      <c r="G46" s="71"/>
      <c r="H46" s="71">
        <v>4000.0</v>
      </c>
      <c r="I46" s="71"/>
      <c r="J46" s="71">
        <v>6000.0</v>
      </c>
      <c r="K46" s="64"/>
      <c r="L46" s="64" t="s">
        <v>1092</v>
      </c>
      <c r="M46" s="62"/>
      <c r="N46" s="62">
        <v>6000.0</v>
      </c>
      <c r="O46" s="62"/>
      <c r="P46" s="62">
        <v>2000.0</v>
      </c>
      <c r="Q46" s="62"/>
      <c r="R46" s="62">
        <v>0.0</v>
      </c>
      <c r="S46" s="62"/>
      <c r="T46" s="62">
        <v>0.0</v>
      </c>
      <c r="U46" s="62"/>
      <c r="V46" s="62">
        <v>0.0</v>
      </c>
      <c r="W46" s="62"/>
      <c r="X46" s="62">
        <v>0.0</v>
      </c>
      <c r="Y46" s="62"/>
      <c r="Z46" s="62">
        <v>0.0</v>
      </c>
      <c r="AA46" s="62"/>
      <c r="AB46" s="62">
        <v>1000.0</v>
      </c>
      <c r="AC46" s="62"/>
      <c r="AD46" s="62">
        <v>0.0</v>
      </c>
      <c r="AE46" s="62"/>
      <c r="AF46" s="62">
        <v>1000.0</v>
      </c>
      <c r="AG46" s="62"/>
      <c r="AH46" s="62">
        <v>0.0</v>
      </c>
      <c r="AI46" s="62"/>
      <c r="AJ46" s="62">
        <v>0.0</v>
      </c>
      <c r="AK46" s="62"/>
      <c r="AL46" s="62">
        <v>0.0</v>
      </c>
      <c r="AM46" s="62"/>
      <c r="AN46" s="62">
        <v>0.0</v>
      </c>
      <c r="AO46" s="62"/>
      <c r="AP46" s="62">
        <v>0.0</v>
      </c>
      <c r="AQ46" s="62"/>
      <c r="AR46" s="62">
        <v>0.0</v>
      </c>
      <c r="AS46" s="62"/>
      <c r="AT46" s="62">
        <v>0.0</v>
      </c>
      <c r="AU46" s="62"/>
      <c r="AV46" s="62">
        <v>0.0</v>
      </c>
      <c r="AW46" s="62"/>
      <c r="AX46" s="62">
        <v>0.0</v>
      </c>
      <c r="AY46" s="62">
        <v>0.0</v>
      </c>
      <c r="AZ46" s="62">
        <v>0.0</v>
      </c>
    </row>
    <row r="47" ht="22.5" customHeight="1">
      <c r="A47" s="62" t="s">
        <v>234</v>
      </c>
      <c r="B47" s="62" t="s">
        <v>1176</v>
      </c>
      <c r="C47" s="62" t="s">
        <v>1177</v>
      </c>
      <c r="D47" s="62" t="s">
        <v>1163</v>
      </c>
      <c r="E47" s="63">
        <v>7.61309912288</v>
      </c>
      <c r="F47" s="62">
        <v>0.0</v>
      </c>
      <c r="G47" s="71"/>
      <c r="H47" s="71">
        <v>3000.0</v>
      </c>
      <c r="I47" s="71"/>
      <c r="J47" s="71">
        <v>3000.0</v>
      </c>
      <c r="K47" s="64"/>
      <c r="L47" s="64" t="s">
        <v>1092</v>
      </c>
      <c r="M47" s="62"/>
      <c r="N47" s="62">
        <v>1000.0</v>
      </c>
      <c r="O47" s="62"/>
      <c r="P47" s="62">
        <v>0.0</v>
      </c>
      <c r="Q47" s="62"/>
      <c r="R47" s="62">
        <v>0.0</v>
      </c>
      <c r="S47" s="62"/>
      <c r="T47" s="62">
        <v>0.0</v>
      </c>
      <c r="U47" s="62"/>
      <c r="V47" s="62">
        <v>0.0</v>
      </c>
      <c r="W47" s="62"/>
      <c r="X47" s="62">
        <v>1500.0</v>
      </c>
      <c r="Y47" s="62"/>
      <c r="Z47" s="62">
        <v>2500.0</v>
      </c>
      <c r="AA47" s="62"/>
      <c r="AB47" s="62">
        <v>5000.0</v>
      </c>
      <c r="AC47" s="62"/>
      <c r="AD47" s="62">
        <v>0.0</v>
      </c>
      <c r="AE47" s="62"/>
      <c r="AF47" s="62">
        <v>4000.0</v>
      </c>
      <c r="AG47" s="62"/>
      <c r="AH47" s="62">
        <v>1000.0</v>
      </c>
      <c r="AI47" s="62"/>
      <c r="AJ47" s="62">
        <v>1500.0</v>
      </c>
      <c r="AK47" s="62"/>
      <c r="AL47" s="62">
        <v>1500.0</v>
      </c>
      <c r="AM47" s="62"/>
      <c r="AN47" s="62">
        <v>0.0</v>
      </c>
      <c r="AO47" s="62"/>
      <c r="AP47" s="62">
        <v>0.0</v>
      </c>
      <c r="AQ47" s="62"/>
      <c r="AR47" s="62">
        <v>0.0</v>
      </c>
      <c r="AS47" s="62"/>
      <c r="AT47" s="62">
        <v>0.0</v>
      </c>
      <c r="AU47" s="62"/>
      <c r="AV47" s="62">
        <v>0.0</v>
      </c>
      <c r="AW47" s="62"/>
      <c r="AX47" s="62">
        <v>0.0</v>
      </c>
      <c r="AY47" s="62">
        <v>0.0</v>
      </c>
      <c r="AZ47" s="62">
        <v>0.0</v>
      </c>
    </row>
    <row r="48" ht="22.5" customHeight="1">
      <c r="A48" s="62" t="s">
        <v>234</v>
      </c>
      <c r="B48" s="62" t="s">
        <v>1178</v>
      </c>
      <c r="C48" s="62" t="s">
        <v>1179</v>
      </c>
      <c r="D48" s="62" t="s">
        <v>1163</v>
      </c>
      <c r="E48" s="63">
        <v>1.22864749961</v>
      </c>
      <c r="F48" s="62">
        <v>0.0</v>
      </c>
      <c r="G48" s="71"/>
      <c r="H48" s="71">
        <v>3000.0</v>
      </c>
      <c r="I48" s="71"/>
      <c r="J48" s="71">
        <v>3000.0</v>
      </c>
      <c r="K48" s="64"/>
      <c r="L48" s="64" t="s">
        <v>1092</v>
      </c>
      <c r="M48" s="62"/>
      <c r="N48" s="62">
        <v>1000.0</v>
      </c>
      <c r="O48" s="62"/>
      <c r="P48" s="62">
        <v>0.0</v>
      </c>
      <c r="Q48" s="62"/>
      <c r="R48" s="62">
        <v>0.0</v>
      </c>
      <c r="S48" s="62"/>
      <c r="T48" s="62">
        <v>0.0</v>
      </c>
      <c r="U48" s="62"/>
      <c r="V48" s="62">
        <v>0.0</v>
      </c>
      <c r="W48" s="62"/>
      <c r="X48" s="62">
        <v>1500.0</v>
      </c>
      <c r="Y48" s="62"/>
      <c r="Z48" s="62">
        <v>2500.0</v>
      </c>
      <c r="AA48" s="62"/>
      <c r="AB48" s="62">
        <v>5000.0</v>
      </c>
      <c r="AC48" s="62"/>
      <c r="AD48" s="62">
        <v>0.0</v>
      </c>
      <c r="AE48" s="62"/>
      <c r="AF48" s="62">
        <v>1000.0</v>
      </c>
      <c r="AG48" s="62"/>
      <c r="AH48" s="62">
        <v>1000.0</v>
      </c>
      <c r="AI48" s="62"/>
      <c r="AJ48" s="62">
        <v>200.0</v>
      </c>
      <c r="AK48" s="62"/>
      <c r="AL48" s="62">
        <v>200.0</v>
      </c>
      <c r="AM48" s="62"/>
      <c r="AN48" s="62">
        <v>0.0</v>
      </c>
      <c r="AO48" s="62"/>
      <c r="AP48" s="62">
        <v>0.0</v>
      </c>
      <c r="AQ48" s="62"/>
      <c r="AR48" s="62">
        <v>0.0</v>
      </c>
      <c r="AS48" s="62"/>
      <c r="AT48" s="62">
        <v>0.0</v>
      </c>
      <c r="AU48" s="62"/>
      <c r="AV48" s="62">
        <v>0.0</v>
      </c>
      <c r="AW48" s="62"/>
      <c r="AX48" s="62">
        <v>0.0</v>
      </c>
      <c r="AY48" s="62">
        <v>0.0</v>
      </c>
      <c r="AZ48" s="62">
        <v>0.0</v>
      </c>
    </row>
    <row r="49" ht="22.5" customHeight="1">
      <c r="A49" s="62" t="s">
        <v>234</v>
      </c>
      <c r="B49" s="62" t="s">
        <v>1180</v>
      </c>
      <c r="C49" s="62" t="s">
        <v>1181</v>
      </c>
      <c r="D49" s="62" t="s">
        <v>1163</v>
      </c>
      <c r="E49" s="63">
        <v>0.793302735532</v>
      </c>
      <c r="F49" s="62">
        <v>0.0</v>
      </c>
      <c r="G49" s="71"/>
      <c r="H49" s="71">
        <v>3000.0</v>
      </c>
      <c r="I49" s="71"/>
      <c r="J49" s="71">
        <v>3000.0</v>
      </c>
      <c r="K49" s="64"/>
      <c r="L49" s="64" t="s">
        <v>1092</v>
      </c>
      <c r="M49" s="62"/>
      <c r="N49" s="62">
        <v>1000.0</v>
      </c>
      <c r="O49" s="62"/>
      <c r="P49" s="62">
        <v>0.0</v>
      </c>
      <c r="Q49" s="62"/>
      <c r="R49" s="62">
        <v>0.0</v>
      </c>
      <c r="S49" s="62"/>
      <c r="T49" s="62">
        <v>0.0</v>
      </c>
      <c r="U49" s="62"/>
      <c r="V49" s="62">
        <v>0.0</v>
      </c>
      <c r="W49" s="62"/>
      <c r="X49" s="62">
        <v>1500.0</v>
      </c>
      <c r="Y49" s="62"/>
      <c r="Z49" s="62">
        <v>2500.0</v>
      </c>
      <c r="AA49" s="62"/>
      <c r="AB49" s="62">
        <v>5000.0</v>
      </c>
      <c r="AC49" s="62"/>
      <c r="AD49" s="62">
        <v>0.0</v>
      </c>
      <c r="AE49" s="62"/>
      <c r="AF49" s="62">
        <v>1000.0</v>
      </c>
      <c r="AG49" s="62"/>
      <c r="AH49" s="62">
        <v>1000.0</v>
      </c>
      <c r="AI49" s="62"/>
      <c r="AJ49" s="62">
        <v>500.0</v>
      </c>
      <c r="AK49" s="62"/>
      <c r="AL49" s="62">
        <v>500.0</v>
      </c>
      <c r="AM49" s="62"/>
      <c r="AN49" s="62">
        <v>0.0</v>
      </c>
      <c r="AO49" s="62"/>
      <c r="AP49" s="62">
        <v>0.0</v>
      </c>
      <c r="AQ49" s="62"/>
      <c r="AR49" s="62">
        <v>0.0</v>
      </c>
      <c r="AS49" s="62"/>
      <c r="AT49" s="62">
        <v>0.0</v>
      </c>
      <c r="AU49" s="62"/>
      <c r="AV49" s="62">
        <v>15000.0</v>
      </c>
      <c r="AW49" s="62"/>
      <c r="AX49" s="62">
        <v>0.0</v>
      </c>
      <c r="AY49" s="62">
        <v>0.0</v>
      </c>
      <c r="AZ49" s="62">
        <v>0.0</v>
      </c>
    </row>
    <row r="50" ht="22.5" customHeight="1">
      <c r="A50" s="62" t="s">
        <v>234</v>
      </c>
      <c r="B50" s="62" t="s">
        <v>1182</v>
      </c>
      <c r="C50" s="62" t="s">
        <v>1183</v>
      </c>
      <c r="D50" s="62" t="s">
        <v>1163</v>
      </c>
      <c r="E50" s="63">
        <v>8.17206825874</v>
      </c>
      <c r="F50" s="62">
        <v>0.0</v>
      </c>
      <c r="G50" s="71"/>
      <c r="H50" s="71">
        <v>3000.0</v>
      </c>
      <c r="I50" s="71"/>
      <c r="J50" s="71">
        <v>3000.0</v>
      </c>
      <c r="K50" s="64"/>
      <c r="L50" s="64" t="s">
        <v>1092</v>
      </c>
      <c r="M50" s="62"/>
      <c r="N50" s="62">
        <v>1000.0</v>
      </c>
      <c r="O50" s="62"/>
      <c r="P50" s="62">
        <v>0.0</v>
      </c>
      <c r="Q50" s="62"/>
      <c r="R50" s="62">
        <v>0.0</v>
      </c>
      <c r="S50" s="62"/>
      <c r="T50" s="62">
        <v>0.0</v>
      </c>
      <c r="U50" s="62"/>
      <c r="V50" s="62">
        <v>0.0</v>
      </c>
      <c r="W50" s="62"/>
      <c r="X50" s="62">
        <v>1500.0</v>
      </c>
      <c r="Y50" s="62"/>
      <c r="Z50" s="62">
        <v>2500.0</v>
      </c>
      <c r="AA50" s="62"/>
      <c r="AB50" s="62">
        <v>5000.0</v>
      </c>
      <c r="AC50" s="62"/>
      <c r="AD50" s="62">
        <v>0.0</v>
      </c>
      <c r="AE50" s="62"/>
      <c r="AF50" s="62">
        <v>4000.0</v>
      </c>
      <c r="AG50" s="62"/>
      <c r="AH50" s="62">
        <v>1000.0</v>
      </c>
      <c r="AI50" s="62"/>
      <c r="AJ50" s="62">
        <v>1000.0</v>
      </c>
      <c r="AK50" s="62"/>
      <c r="AL50" s="62">
        <v>1000.0</v>
      </c>
      <c r="AM50" s="62"/>
      <c r="AN50" s="62">
        <v>0.0</v>
      </c>
      <c r="AO50" s="62"/>
      <c r="AP50" s="62">
        <v>0.0</v>
      </c>
      <c r="AQ50" s="62"/>
      <c r="AR50" s="62">
        <v>0.0</v>
      </c>
      <c r="AS50" s="62"/>
      <c r="AT50" s="62">
        <v>0.0</v>
      </c>
      <c r="AU50" s="62"/>
      <c r="AV50" s="62">
        <v>0.0</v>
      </c>
      <c r="AW50" s="62"/>
      <c r="AX50" s="62">
        <v>0.0</v>
      </c>
      <c r="AY50" s="62">
        <v>0.0</v>
      </c>
      <c r="AZ50" s="62">
        <v>0.0</v>
      </c>
    </row>
    <row r="51" ht="22.5" customHeight="1">
      <c r="A51" s="62" t="s">
        <v>234</v>
      </c>
      <c r="B51" s="62" t="s">
        <v>1184</v>
      </c>
      <c r="C51" s="62" t="s">
        <v>1185</v>
      </c>
      <c r="D51" s="62" t="s">
        <v>1163</v>
      </c>
      <c r="E51" s="63">
        <v>3.28589956444</v>
      </c>
      <c r="F51" s="62">
        <v>0.0</v>
      </c>
      <c r="G51" s="71"/>
      <c r="H51" s="71">
        <v>3000.0</v>
      </c>
      <c r="I51" s="71"/>
      <c r="J51" s="71">
        <v>3000.0</v>
      </c>
      <c r="K51" s="64"/>
      <c r="L51" s="64" t="s">
        <v>1092</v>
      </c>
      <c r="M51" s="62"/>
      <c r="N51" s="62">
        <v>1000.0</v>
      </c>
      <c r="O51" s="62"/>
      <c r="P51" s="62">
        <v>0.0</v>
      </c>
      <c r="Q51" s="62"/>
      <c r="R51" s="62">
        <v>0.0</v>
      </c>
      <c r="S51" s="62"/>
      <c r="T51" s="62">
        <v>0.0</v>
      </c>
      <c r="U51" s="62"/>
      <c r="V51" s="62">
        <v>0.0</v>
      </c>
      <c r="W51" s="62"/>
      <c r="X51" s="62">
        <v>1500.0</v>
      </c>
      <c r="Y51" s="62"/>
      <c r="Z51" s="62">
        <v>2500.0</v>
      </c>
      <c r="AA51" s="62"/>
      <c r="AB51" s="62">
        <v>5000.0</v>
      </c>
      <c r="AC51" s="62"/>
      <c r="AD51" s="62">
        <v>0.0</v>
      </c>
      <c r="AE51" s="62"/>
      <c r="AF51" s="62">
        <v>1000.0</v>
      </c>
      <c r="AG51" s="62"/>
      <c r="AH51" s="62">
        <v>1000.0</v>
      </c>
      <c r="AI51" s="62"/>
      <c r="AJ51" s="62">
        <v>2000.0</v>
      </c>
      <c r="AK51" s="62"/>
      <c r="AL51" s="62">
        <v>2000.0</v>
      </c>
      <c r="AM51" s="62"/>
      <c r="AN51" s="62">
        <v>0.0</v>
      </c>
      <c r="AO51" s="62"/>
      <c r="AP51" s="62">
        <v>0.0</v>
      </c>
      <c r="AQ51" s="62"/>
      <c r="AR51" s="62">
        <v>0.0</v>
      </c>
      <c r="AS51" s="62"/>
      <c r="AT51" s="62">
        <v>0.0</v>
      </c>
      <c r="AU51" s="62"/>
      <c r="AV51" s="62">
        <v>0.0</v>
      </c>
      <c r="AW51" s="62"/>
      <c r="AX51" s="62">
        <v>0.0</v>
      </c>
      <c r="AY51" s="62">
        <v>0.0</v>
      </c>
      <c r="AZ51" s="62">
        <v>0.0</v>
      </c>
    </row>
    <row r="52" ht="22.5" customHeight="1">
      <c r="A52" s="62" t="s">
        <v>234</v>
      </c>
      <c r="B52" s="62" t="s">
        <v>1186</v>
      </c>
      <c r="C52" s="62" t="s">
        <v>1187</v>
      </c>
      <c r="D52" s="62" t="s">
        <v>1163</v>
      </c>
      <c r="E52" s="63">
        <v>4.25885600318</v>
      </c>
      <c r="F52" s="62">
        <v>0.0</v>
      </c>
      <c r="G52" s="71"/>
      <c r="H52" s="71">
        <v>3000.0</v>
      </c>
      <c r="I52" s="71"/>
      <c r="J52" s="71">
        <v>3000.0</v>
      </c>
      <c r="K52" s="64"/>
      <c r="L52" s="64" t="s">
        <v>1092</v>
      </c>
      <c r="M52" s="62"/>
      <c r="N52" s="62">
        <v>1000.0</v>
      </c>
      <c r="O52" s="62"/>
      <c r="P52" s="62">
        <v>0.0</v>
      </c>
      <c r="Q52" s="62"/>
      <c r="R52" s="62">
        <v>0.0</v>
      </c>
      <c r="S52" s="62"/>
      <c r="T52" s="62">
        <v>0.0</v>
      </c>
      <c r="U52" s="62"/>
      <c r="V52" s="62">
        <v>0.0</v>
      </c>
      <c r="W52" s="62"/>
      <c r="X52" s="62">
        <v>1500.0</v>
      </c>
      <c r="Y52" s="62"/>
      <c r="Z52" s="62">
        <v>2500.0</v>
      </c>
      <c r="AA52" s="62"/>
      <c r="AB52" s="62">
        <v>5000.0</v>
      </c>
      <c r="AC52" s="62"/>
      <c r="AD52" s="62">
        <v>0.0</v>
      </c>
      <c r="AE52" s="62"/>
      <c r="AF52" s="62">
        <v>1000.0</v>
      </c>
      <c r="AG52" s="62"/>
      <c r="AH52" s="62">
        <v>1000.0</v>
      </c>
      <c r="AI52" s="62"/>
      <c r="AJ52" s="62">
        <v>0.0</v>
      </c>
      <c r="AK52" s="62"/>
      <c r="AL52" s="62">
        <v>0.0</v>
      </c>
      <c r="AM52" s="62"/>
      <c r="AN52" s="62">
        <v>0.0</v>
      </c>
      <c r="AO52" s="62"/>
      <c r="AP52" s="62">
        <v>0.0</v>
      </c>
      <c r="AQ52" s="62"/>
      <c r="AR52" s="62">
        <v>0.0</v>
      </c>
      <c r="AS52" s="62"/>
      <c r="AT52" s="62">
        <v>0.0</v>
      </c>
      <c r="AU52" s="62"/>
      <c r="AV52" s="62">
        <v>0.0</v>
      </c>
      <c r="AW52" s="62"/>
      <c r="AX52" s="62">
        <v>0.0</v>
      </c>
      <c r="AY52" s="62">
        <v>0.0</v>
      </c>
      <c r="AZ52" s="62">
        <v>0.0</v>
      </c>
    </row>
    <row r="53" ht="22.5" customHeight="1">
      <c r="A53" s="62" t="s">
        <v>246</v>
      </c>
      <c r="B53" s="62" t="s">
        <v>1161</v>
      </c>
      <c r="C53" s="62" t="s">
        <v>1162</v>
      </c>
      <c r="D53" s="62" t="s">
        <v>1163</v>
      </c>
      <c r="E53" s="63">
        <v>15.9623321182</v>
      </c>
      <c r="F53" s="62">
        <v>0.0</v>
      </c>
      <c r="G53" s="71"/>
      <c r="H53" s="71">
        <v>0.0</v>
      </c>
      <c r="I53" s="71"/>
      <c r="J53" s="71">
        <v>0.0</v>
      </c>
      <c r="K53" s="64"/>
      <c r="L53" s="64" t="s">
        <v>1092</v>
      </c>
      <c r="M53" s="62"/>
      <c r="N53" s="62">
        <v>0.0</v>
      </c>
      <c r="O53" s="62"/>
      <c r="P53" s="62">
        <v>0.0</v>
      </c>
      <c r="Q53" s="62"/>
      <c r="R53" s="62">
        <v>0.0</v>
      </c>
      <c r="S53" s="62"/>
      <c r="T53" s="62">
        <v>5000.0</v>
      </c>
      <c r="U53" s="62"/>
      <c r="V53" s="62">
        <v>0.0</v>
      </c>
      <c r="W53" s="62"/>
      <c r="X53" s="62">
        <v>0.0</v>
      </c>
      <c r="Y53" s="62"/>
      <c r="Z53" s="62">
        <v>0.0</v>
      </c>
      <c r="AA53" s="62"/>
      <c r="AB53" s="62">
        <v>0.0</v>
      </c>
      <c r="AC53" s="62"/>
      <c r="AD53" s="62">
        <v>0.0</v>
      </c>
      <c r="AE53" s="62"/>
      <c r="AF53" s="62">
        <v>1000.0</v>
      </c>
      <c r="AG53" s="62"/>
      <c r="AH53" s="62">
        <v>2000.0</v>
      </c>
      <c r="AI53" s="62"/>
      <c r="AJ53" s="62">
        <v>2000.0</v>
      </c>
      <c r="AK53" s="62"/>
      <c r="AL53" s="62">
        <v>0.0</v>
      </c>
      <c r="AM53" s="62"/>
      <c r="AN53" s="62">
        <v>0.0</v>
      </c>
      <c r="AO53" s="62"/>
      <c r="AP53" s="62">
        <v>0.0</v>
      </c>
      <c r="AQ53" s="62"/>
      <c r="AR53" s="62">
        <v>0.0</v>
      </c>
      <c r="AS53" s="62"/>
      <c r="AT53" s="62">
        <v>0.0</v>
      </c>
      <c r="AU53" s="62"/>
      <c r="AV53" s="62">
        <v>0.0</v>
      </c>
      <c r="AW53" s="62"/>
      <c r="AX53" s="62">
        <v>0.0</v>
      </c>
      <c r="AY53" s="62">
        <v>0.0</v>
      </c>
      <c r="AZ53" s="62">
        <v>0.0</v>
      </c>
    </row>
    <row r="54" ht="22.5" customHeight="1">
      <c r="A54" s="62" t="s">
        <v>246</v>
      </c>
      <c r="B54" s="62" t="s">
        <v>1137</v>
      </c>
      <c r="C54" s="62" t="s">
        <v>1138</v>
      </c>
      <c r="D54" s="62">
        <v>2026.0</v>
      </c>
      <c r="E54" s="63">
        <v>11.7990407647</v>
      </c>
      <c r="F54" s="62">
        <v>0.0</v>
      </c>
      <c r="G54" s="71"/>
      <c r="H54" s="71">
        <v>0.0</v>
      </c>
      <c r="I54" s="71"/>
      <c r="J54" s="71">
        <v>0.0</v>
      </c>
      <c r="K54" s="64"/>
      <c r="L54" s="64" t="s">
        <v>1092</v>
      </c>
      <c r="M54" s="62"/>
      <c r="N54" s="62">
        <v>0.0</v>
      </c>
      <c r="O54" s="62"/>
      <c r="P54" s="62">
        <v>0.0</v>
      </c>
      <c r="Q54" s="62"/>
      <c r="R54" s="62">
        <v>0.0</v>
      </c>
      <c r="S54" s="62"/>
      <c r="T54" s="62">
        <v>5000.0</v>
      </c>
      <c r="U54" s="62"/>
      <c r="V54" s="62">
        <v>0.0</v>
      </c>
      <c r="W54" s="62"/>
      <c r="X54" s="62">
        <v>0.0</v>
      </c>
      <c r="Y54" s="62"/>
      <c r="Z54" s="62">
        <v>0.0</v>
      </c>
      <c r="AA54" s="62"/>
      <c r="AB54" s="62">
        <v>0.0</v>
      </c>
      <c r="AC54" s="62"/>
      <c r="AD54" s="62">
        <v>0.0</v>
      </c>
      <c r="AE54" s="62"/>
      <c r="AF54" s="62">
        <v>0.0</v>
      </c>
      <c r="AG54" s="62"/>
      <c r="AH54" s="62">
        <v>0.0</v>
      </c>
      <c r="AI54" s="62"/>
      <c r="AJ54" s="62">
        <v>0.0</v>
      </c>
      <c r="AK54" s="62"/>
      <c r="AL54" s="62">
        <v>3000.0</v>
      </c>
      <c r="AM54" s="62"/>
      <c r="AN54" s="62">
        <v>5000.0</v>
      </c>
      <c r="AO54" s="62"/>
      <c r="AP54" s="62">
        <v>6000.0</v>
      </c>
      <c r="AQ54" s="62"/>
      <c r="AR54" s="62">
        <v>4000.0</v>
      </c>
      <c r="AS54" s="62"/>
      <c r="AT54" s="62">
        <v>0.0</v>
      </c>
      <c r="AU54" s="62"/>
      <c r="AV54" s="62">
        <v>0.0</v>
      </c>
      <c r="AW54" s="62"/>
      <c r="AX54" s="62">
        <v>0.0</v>
      </c>
      <c r="AY54" s="62">
        <v>0.0</v>
      </c>
      <c r="AZ54" s="62">
        <v>0.0</v>
      </c>
    </row>
    <row r="55" ht="22.5" customHeight="1">
      <c r="A55" s="62" t="s">
        <v>246</v>
      </c>
      <c r="B55" s="62" t="s">
        <v>1166</v>
      </c>
      <c r="C55" s="62" t="s">
        <v>1167</v>
      </c>
      <c r="D55" s="62" t="s">
        <v>1163</v>
      </c>
      <c r="E55" s="63">
        <v>27.4170248389</v>
      </c>
      <c r="F55" s="62">
        <v>0.0</v>
      </c>
      <c r="G55" s="71"/>
      <c r="H55" s="71">
        <v>0.0</v>
      </c>
      <c r="I55" s="71"/>
      <c r="J55" s="71">
        <v>0.0</v>
      </c>
      <c r="K55" s="64"/>
      <c r="L55" s="64" t="s">
        <v>1092</v>
      </c>
      <c r="M55" s="62"/>
      <c r="N55" s="62">
        <v>0.0</v>
      </c>
      <c r="O55" s="62"/>
      <c r="P55" s="62">
        <v>0.0</v>
      </c>
      <c r="Q55" s="62"/>
      <c r="R55" s="62">
        <v>0.0</v>
      </c>
      <c r="S55" s="62"/>
      <c r="T55" s="62">
        <v>5000.0</v>
      </c>
      <c r="U55" s="62"/>
      <c r="V55" s="62">
        <v>0.0</v>
      </c>
      <c r="W55" s="62"/>
      <c r="X55" s="62">
        <v>0.0</v>
      </c>
      <c r="Y55" s="62"/>
      <c r="Z55" s="62">
        <v>0.0</v>
      </c>
      <c r="AA55" s="62"/>
      <c r="AB55" s="62">
        <v>0.0</v>
      </c>
      <c r="AC55" s="62"/>
      <c r="AD55" s="62">
        <v>0.0</v>
      </c>
      <c r="AE55" s="62"/>
      <c r="AF55" s="62">
        <v>2000.0</v>
      </c>
      <c r="AG55" s="62"/>
      <c r="AH55" s="62">
        <v>1000.0</v>
      </c>
      <c r="AI55" s="62"/>
      <c r="AJ55" s="62">
        <v>0.0</v>
      </c>
      <c r="AK55" s="62"/>
      <c r="AL55" s="62">
        <v>0.0</v>
      </c>
      <c r="AM55" s="62"/>
      <c r="AN55" s="62">
        <v>0.0</v>
      </c>
      <c r="AO55" s="62"/>
      <c r="AP55" s="62">
        <v>0.0</v>
      </c>
      <c r="AQ55" s="62"/>
      <c r="AR55" s="62">
        <v>0.0</v>
      </c>
      <c r="AS55" s="62"/>
      <c r="AT55" s="62">
        <v>0.0</v>
      </c>
      <c r="AU55" s="62"/>
      <c r="AV55" s="62">
        <v>0.0</v>
      </c>
      <c r="AW55" s="62"/>
      <c r="AX55" s="62">
        <v>0.0</v>
      </c>
      <c r="AY55" s="62">
        <v>0.0</v>
      </c>
      <c r="AZ55" s="62">
        <v>0.0</v>
      </c>
    </row>
    <row r="56" ht="22.5" customHeight="1">
      <c r="A56" s="62" t="s">
        <v>246</v>
      </c>
      <c r="B56" s="62" t="s">
        <v>1111</v>
      </c>
      <c r="C56" s="62" t="s">
        <v>1112</v>
      </c>
      <c r="D56" s="62">
        <v>2023.0</v>
      </c>
      <c r="E56" s="63">
        <v>8.68807045352</v>
      </c>
      <c r="F56" s="62">
        <v>0.0</v>
      </c>
      <c r="G56" s="71"/>
      <c r="H56" s="71">
        <v>0.0</v>
      </c>
      <c r="I56" s="71"/>
      <c r="J56" s="71">
        <v>0.0</v>
      </c>
      <c r="K56" s="64"/>
      <c r="L56" s="64" t="s">
        <v>1092</v>
      </c>
      <c r="M56" s="62"/>
      <c r="N56" s="62">
        <v>0.0</v>
      </c>
      <c r="O56" s="62"/>
      <c r="P56" s="62">
        <v>0.0</v>
      </c>
      <c r="Q56" s="62"/>
      <c r="R56" s="62">
        <v>0.0</v>
      </c>
      <c r="S56" s="62"/>
      <c r="T56" s="62">
        <v>0.0</v>
      </c>
      <c r="U56" s="62"/>
      <c r="V56" s="62">
        <v>0.0</v>
      </c>
      <c r="W56" s="62"/>
      <c r="X56" s="62">
        <v>0.0</v>
      </c>
      <c r="Y56" s="62"/>
      <c r="Z56" s="62">
        <v>0.0</v>
      </c>
      <c r="AA56" s="62"/>
      <c r="AB56" s="62">
        <v>0.0</v>
      </c>
      <c r="AC56" s="62"/>
      <c r="AD56" s="62">
        <v>0.0</v>
      </c>
      <c r="AE56" s="62"/>
      <c r="AF56" s="62">
        <v>0.0</v>
      </c>
      <c r="AG56" s="62"/>
      <c r="AH56" s="62">
        <v>0.0</v>
      </c>
      <c r="AI56" s="62"/>
      <c r="AJ56" s="62">
        <v>0.0</v>
      </c>
      <c r="AK56" s="62"/>
      <c r="AL56" s="62">
        <v>0.0</v>
      </c>
      <c r="AM56" s="62"/>
      <c r="AN56" s="62">
        <v>0.0</v>
      </c>
      <c r="AO56" s="62"/>
      <c r="AP56" s="62">
        <v>0.0</v>
      </c>
      <c r="AQ56" s="62"/>
      <c r="AR56" s="62">
        <v>0.0</v>
      </c>
      <c r="AS56" s="62"/>
      <c r="AT56" s="62">
        <v>0.0</v>
      </c>
      <c r="AU56" s="62"/>
      <c r="AV56" s="62">
        <v>2000.0</v>
      </c>
      <c r="AW56" s="62"/>
      <c r="AX56" s="62">
        <v>3000.0</v>
      </c>
      <c r="AY56" s="62">
        <v>0.0</v>
      </c>
      <c r="AZ56" s="62">
        <v>0.0</v>
      </c>
    </row>
    <row r="57" ht="22.5" customHeight="1">
      <c r="A57" s="65"/>
      <c r="B57" s="65"/>
      <c r="C57" s="65"/>
      <c r="D57" s="66">
        <f>SUM(Johan_Brand_Skatting_en_Werklik_3[GEPLANT])</f>
        <v>72868</v>
      </c>
      <c r="E57" s="67">
        <f>SUM(Johan_Brand_Skatting_en_Werklik_3[HEKTAAR])</f>
        <v>1049.350267</v>
      </c>
      <c r="F57" s="65"/>
      <c r="G57" s="65"/>
      <c r="H57" s="68">
        <f>SUM(Johan_Brand_Skatting_en_Werklik_3[2005
OESSKAT])</f>
        <v>91000</v>
      </c>
      <c r="I57" s="65"/>
      <c r="J57" s="68">
        <f>SUM(Johan_Brand_Skatting_en_Werklik_3[2006
OESSKAT])</f>
        <v>286500</v>
      </c>
      <c r="K57" s="65"/>
      <c r="L57" s="68">
        <f>SUM(Johan_Brand_Skatting_en_Werklik_3[2007_OESSKAT])</f>
        <v>0</v>
      </c>
      <c r="M57" s="65"/>
      <c r="N57" s="66">
        <f>SUM(Johan_Brand_Skatting_en_Werklik_3[2008_OESSKAT])</f>
        <v>310000</v>
      </c>
      <c r="O57" s="65"/>
      <c r="P57" s="66">
        <f>SUM(Johan_Brand_Skatting_en_Werklik_3[2009_OESSKAT])</f>
        <v>189000</v>
      </c>
      <c r="Q57" s="65"/>
      <c r="R57" s="66">
        <f>SUM(Johan_Brand_Skatting_en_Werklik_3[2010_OESSKAT])</f>
        <v>132000</v>
      </c>
      <c r="S57" s="65"/>
      <c r="T57" s="66">
        <f>SUM(Johan_Brand_Skatting_en_Werklik_3[2011_OESSKAT])</f>
        <v>236000</v>
      </c>
      <c r="U57" s="65"/>
      <c r="V57" s="66">
        <f>SUM(Johan_Brand_Skatting_en_Werklik_3[2012_OESSKAT])</f>
        <v>172000</v>
      </c>
      <c r="W57" s="65"/>
      <c r="X57" s="66">
        <f>SUM(Johan_Brand_Skatting_en_Werklik_3[2013_OESSKAT])</f>
        <v>142500</v>
      </c>
      <c r="Y57" s="65"/>
      <c r="Z57" s="66">
        <f>SUM(Johan_Brand_Skatting_en_Werklik_3[2014_OESSKAT])</f>
        <v>163500</v>
      </c>
      <c r="AA57" s="65"/>
      <c r="AB57" s="66">
        <f>SUM(Johan_Brand_Skatting_en_Werklik_3[2015_OESSKAT])</f>
        <v>202000</v>
      </c>
      <c r="AC57" s="65"/>
      <c r="AD57" s="66">
        <f>SUM(Johan_Brand_Skatting_en_Werklik_3[2016_OESSKAT])</f>
        <v>132500</v>
      </c>
      <c r="AE57" s="65"/>
      <c r="AF57" s="66">
        <f>SUM(Johan_Brand_Skatting_en_Werklik_3[2017_OESSKAT])</f>
        <v>372800</v>
      </c>
      <c r="AG57" s="65"/>
      <c r="AH57" s="66">
        <f>SUM(Johan_Brand_Skatting_en_Werklik_3[2018_OESSKAT])</f>
        <v>216003</v>
      </c>
      <c r="AI57" s="65"/>
      <c r="AJ57" s="66">
        <f>SUM(Johan_Brand_Skatting_en_Werklik_3[2019_OESSKAT])</f>
        <v>195200</v>
      </c>
      <c r="AK57" s="65"/>
      <c r="AL57" s="66">
        <f>SUM(Johan_Brand_Skatting_en_Werklik_3[2020_OESSKAT])</f>
        <v>209200</v>
      </c>
      <c r="AM57" s="65"/>
      <c r="AN57" s="66">
        <f>SUM(Johan_Brand_Skatting_en_Werklik_3[2021_OESSKAT])</f>
        <v>207000</v>
      </c>
      <c r="AO57" s="65"/>
      <c r="AP57" s="66">
        <f>SUM(Johan_Brand_Skatting_en_Werklik_3[2022_OESSKAT])</f>
        <v>186000</v>
      </c>
      <c r="AQ57" s="65"/>
      <c r="AR57" s="66">
        <f>SUM(Johan_Brand_Skatting_en_Werklik_3[2023_OESSKAT])</f>
        <v>120000</v>
      </c>
      <c r="AS57" s="65"/>
      <c r="AT57" s="66">
        <f>SUM(Johan_Brand_Skatting_en_Werklik_3[2024_OESSKAT])</f>
        <v>192000</v>
      </c>
      <c r="AU57" s="65"/>
      <c r="AV57" s="66">
        <f>SUM(Johan_Brand_Skatting_en_Werklik_3[2025_OESSKAT])</f>
        <v>231700</v>
      </c>
      <c r="AW57" s="65"/>
      <c r="AX57" s="66">
        <f>SUM(Johan_Brand_Skatting_en_Werklik_3[2026_OESSKAT])</f>
        <v>178000</v>
      </c>
      <c r="AY57" s="66">
        <f>SUM(Johan_Brand_Skatting_en_Werklik_3[2027_OESSKAT])</f>
        <v>93000</v>
      </c>
      <c r="AZ57" s="66">
        <f>SUM(Johan_Brand_Skatting_en_Werklik_3[2028_OESSKAT])</f>
        <v>34000</v>
      </c>
    </row>
    <row r="58">
      <c r="A58" s="57"/>
      <c r="B58" s="57"/>
      <c r="C58" s="57"/>
      <c r="D58" s="57"/>
      <c r="E58" s="58"/>
      <c r="F58" s="57"/>
      <c r="G58" s="59"/>
      <c r="H58" s="59"/>
      <c r="I58" s="59"/>
      <c r="J58" s="59"/>
      <c r="K58" s="59"/>
      <c r="L58" s="59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</row>
    <row r="59">
      <c r="A59" s="57"/>
      <c r="B59" s="57"/>
      <c r="C59" s="57"/>
      <c r="D59" s="57"/>
      <c r="E59" s="58"/>
      <c r="F59" s="57"/>
      <c r="G59" s="59"/>
      <c r="H59" s="59"/>
      <c r="I59" s="59"/>
      <c r="J59" s="59"/>
      <c r="K59" s="59"/>
      <c r="L59" s="59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</row>
    <row r="60" ht="22.5" customHeight="1">
      <c r="A60" s="60" t="s">
        <v>1063</v>
      </c>
      <c r="B60" s="60" t="s">
        <v>1064</v>
      </c>
      <c r="C60" s="60" t="s">
        <v>1065</v>
      </c>
      <c r="D60" s="60" t="s">
        <v>1066</v>
      </c>
      <c r="E60" s="61" t="s">
        <v>1067</v>
      </c>
      <c r="F60" s="60" t="s">
        <v>1196</v>
      </c>
      <c r="G60" s="76" t="s">
        <v>1221</v>
      </c>
      <c r="H60" s="70" t="s">
        <v>1197</v>
      </c>
      <c r="I60" s="76" t="s">
        <v>1222</v>
      </c>
      <c r="J60" s="70" t="s">
        <v>1198</v>
      </c>
      <c r="K60" s="76" t="s">
        <v>1223</v>
      </c>
      <c r="L60" s="70" t="s">
        <v>1199</v>
      </c>
      <c r="M60" s="76" t="s">
        <v>1224</v>
      </c>
      <c r="N60" s="60" t="s">
        <v>1200</v>
      </c>
      <c r="O60" s="76" t="s">
        <v>1225</v>
      </c>
      <c r="P60" s="60" t="s">
        <v>1201</v>
      </c>
      <c r="Q60" s="76" t="s">
        <v>1226</v>
      </c>
      <c r="R60" s="60" t="s">
        <v>1202</v>
      </c>
      <c r="S60" s="76" t="s">
        <v>1227</v>
      </c>
      <c r="T60" s="60" t="s">
        <v>1203</v>
      </c>
      <c r="U60" s="76" t="s">
        <v>1228</v>
      </c>
      <c r="V60" s="60" t="s">
        <v>1204</v>
      </c>
      <c r="W60" s="76" t="s">
        <v>1229</v>
      </c>
      <c r="X60" s="60" t="s">
        <v>1205</v>
      </c>
      <c r="Y60" s="76" t="s">
        <v>1230</v>
      </c>
      <c r="Z60" s="60" t="s">
        <v>1206</v>
      </c>
      <c r="AA60" s="76" t="s">
        <v>1231</v>
      </c>
      <c r="AB60" s="60" t="s">
        <v>1207</v>
      </c>
      <c r="AC60" s="76" t="s">
        <v>1232</v>
      </c>
      <c r="AD60" s="60" t="s">
        <v>1208</v>
      </c>
      <c r="AE60" s="76" t="s">
        <v>1233</v>
      </c>
      <c r="AF60" s="60" t="s">
        <v>1209</v>
      </c>
      <c r="AG60" s="76" t="s">
        <v>1234</v>
      </c>
      <c r="AH60" s="60" t="s">
        <v>1210</v>
      </c>
      <c r="AI60" s="76" t="s">
        <v>1235</v>
      </c>
      <c r="AJ60" s="60" t="s">
        <v>1211</v>
      </c>
      <c r="AK60" s="76" t="s">
        <v>1236</v>
      </c>
      <c r="AL60" s="60" t="s">
        <v>1212</v>
      </c>
      <c r="AM60" s="76" t="s">
        <v>1237</v>
      </c>
      <c r="AN60" s="60" t="s">
        <v>1213</v>
      </c>
      <c r="AO60" s="76" t="s">
        <v>1238</v>
      </c>
      <c r="AP60" s="60" t="s">
        <v>1214</v>
      </c>
      <c r="AQ60" s="76" t="s">
        <v>1239</v>
      </c>
      <c r="AR60" s="60" t="s">
        <v>1215</v>
      </c>
      <c r="AS60" s="76" t="s">
        <v>1240</v>
      </c>
      <c r="AT60" s="60" t="s">
        <v>1216</v>
      </c>
      <c r="AU60" s="76" t="s">
        <v>1241</v>
      </c>
      <c r="AV60" s="60" t="s">
        <v>1217</v>
      </c>
      <c r="AW60" s="76" t="s">
        <v>1242</v>
      </c>
      <c r="AX60" s="60" t="s">
        <v>1218</v>
      </c>
      <c r="AY60" s="60" t="s">
        <v>1219</v>
      </c>
      <c r="AZ60" s="60" t="s">
        <v>1220</v>
      </c>
    </row>
    <row r="61" ht="22.5" customHeight="1">
      <c r="A61" s="62" t="s">
        <v>246</v>
      </c>
      <c r="B61" s="62" t="s">
        <v>1139</v>
      </c>
      <c r="C61" s="62" t="s">
        <v>1140</v>
      </c>
      <c r="D61" s="62">
        <v>2026.0</v>
      </c>
      <c r="E61" s="63">
        <v>18.110612985</v>
      </c>
      <c r="F61" s="62">
        <v>0.0</v>
      </c>
      <c r="G61" s="71"/>
      <c r="H61" s="71">
        <v>0.0</v>
      </c>
      <c r="I61" s="71"/>
      <c r="J61" s="71">
        <v>15000.0</v>
      </c>
      <c r="K61" s="64"/>
      <c r="L61" s="64" t="s">
        <v>1092</v>
      </c>
      <c r="M61" s="62"/>
      <c r="N61" s="62">
        <v>0.0</v>
      </c>
      <c r="O61" s="62"/>
      <c r="P61" s="62">
        <v>0.0</v>
      </c>
      <c r="Q61" s="62"/>
      <c r="R61" s="62">
        <v>6000.0</v>
      </c>
      <c r="S61" s="62"/>
      <c r="T61" s="62">
        <v>1000.0</v>
      </c>
      <c r="U61" s="62"/>
      <c r="V61" s="62">
        <v>4000.0</v>
      </c>
      <c r="W61" s="62"/>
      <c r="X61" s="62">
        <v>2000.0</v>
      </c>
      <c r="Y61" s="62"/>
      <c r="Z61" s="62">
        <v>2000.0</v>
      </c>
      <c r="AA61" s="62"/>
      <c r="AB61" s="62">
        <v>2000.0</v>
      </c>
      <c r="AC61" s="62"/>
      <c r="AD61" s="62">
        <v>4500.0</v>
      </c>
      <c r="AE61" s="62"/>
      <c r="AF61" s="62">
        <v>34000.0</v>
      </c>
      <c r="AG61" s="62"/>
      <c r="AH61" s="62">
        <v>9000.0</v>
      </c>
      <c r="AI61" s="62"/>
      <c r="AJ61" s="62">
        <v>10000.0</v>
      </c>
      <c r="AK61" s="62"/>
      <c r="AL61" s="62">
        <v>0.0</v>
      </c>
      <c r="AM61" s="62"/>
      <c r="AN61" s="62">
        <v>0.0</v>
      </c>
      <c r="AO61" s="62"/>
      <c r="AP61" s="62">
        <v>15000.0</v>
      </c>
      <c r="AQ61" s="62"/>
      <c r="AR61" s="62">
        <v>0.0</v>
      </c>
      <c r="AS61" s="62"/>
      <c r="AT61" s="62">
        <v>2000.0</v>
      </c>
      <c r="AU61" s="62"/>
      <c r="AV61" s="62">
        <v>0.0</v>
      </c>
      <c r="AW61" s="62"/>
      <c r="AX61" s="62">
        <v>0.0</v>
      </c>
      <c r="AY61" s="62">
        <v>2000.0</v>
      </c>
      <c r="AZ61" s="62">
        <v>9000.0</v>
      </c>
    </row>
    <row r="62" ht="22.5" customHeight="1">
      <c r="A62" s="62" t="s">
        <v>246</v>
      </c>
      <c r="B62" s="62" t="s">
        <v>1095</v>
      </c>
      <c r="C62" s="62" t="s">
        <v>1096</v>
      </c>
      <c r="D62" s="62">
        <v>2022.0</v>
      </c>
      <c r="E62" s="63">
        <v>21.1987533783</v>
      </c>
      <c r="F62" s="62">
        <v>0.0</v>
      </c>
      <c r="G62" s="71"/>
      <c r="H62" s="71">
        <v>0.0</v>
      </c>
      <c r="I62" s="71"/>
      <c r="J62" s="71">
        <v>0.0</v>
      </c>
      <c r="K62" s="64"/>
      <c r="L62" s="64" t="s">
        <v>1092</v>
      </c>
      <c r="M62" s="62"/>
      <c r="N62" s="62">
        <v>0.0</v>
      </c>
      <c r="O62" s="62"/>
      <c r="P62" s="62">
        <v>0.0</v>
      </c>
      <c r="Q62" s="62"/>
      <c r="R62" s="62">
        <v>0.0</v>
      </c>
      <c r="S62" s="62"/>
      <c r="T62" s="62">
        <v>8000.0</v>
      </c>
      <c r="U62" s="62"/>
      <c r="V62" s="62">
        <v>8000.0</v>
      </c>
      <c r="W62" s="62"/>
      <c r="X62" s="62">
        <v>8000.0</v>
      </c>
      <c r="Y62" s="62"/>
      <c r="Z62" s="62">
        <v>6000.0</v>
      </c>
      <c r="AA62" s="62"/>
      <c r="AB62" s="62">
        <v>0.0</v>
      </c>
      <c r="AC62" s="62"/>
      <c r="AD62" s="62">
        <v>0.0</v>
      </c>
      <c r="AE62" s="62"/>
      <c r="AF62" s="62">
        <v>16000.0</v>
      </c>
      <c r="AG62" s="62"/>
      <c r="AH62" s="62">
        <v>16000.0</v>
      </c>
      <c r="AI62" s="62"/>
      <c r="AJ62" s="62">
        <v>12000.0</v>
      </c>
      <c r="AK62" s="62"/>
      <c r="AL62" s="62">
        <v>5000.0</v>
      </c>
      <c r="AM62" s="62"/>
      <c r="AN62" s="62">
        <v>0.0</v>
      </c>
      <c r="AO62" s="62"/>
      <c r="AP62" s="62">
        <v>0.0</v>
      </c>
      <c r="AQ62" s="62"/>
      <c r="AR62" s="62">
        <v>0.0</v>
      </c>
      <c r="AS62" s="62"/>
      <c r="AT62" s="62">
        <v>6000.0</v>
      </c>
      <c r="AU62" s="62"/>
      <c r="AV62" s="62">
        <v>4000.0</v>
      </c>
      <c r="AW62" s="62"/>
      <c r="AX62" s="62">
        <v>5000.0</v>
      </c>
      <c r="AY62" s="62">
        <v>0.0</v>
      </c>
      <c r="AZ62" s="62">
        <v>0.0</v>
      </c>
    </row>
    <row r="63" ht="22.5" customHeight="1">
      <c r="A63" s="62" t="s">
        <v>246</v>
      </c>
      <c r="B63" s="62" t="s">
        <v>1141</v>
      </c>
      <c r="C63" s="62" t="s">
        <v>1142</v>
      </c>
      <c r="D63" s="62">
        <v>2026.0</v>
      </c>
      <c r="E63" s="63">
        <v>11.6095621633</v>
      </c>
      <c r="F63" s="62">
        <v>0.0</v>
      </c>
      <c r="G63" s="71"/>
      <c r="H63" s="71">
        <v>0.0</v>
      </c>
      <c r="I63" s="71"/>
      <c r="J63" s="71">
        <v>5000.0</v>
      </c>
      <c r="K63" s="64"/>
      <c r="L63" s="64" t="s">
        <v>1092</v>
      </c>
      <c r="M63" s="62"/>
      <c r="N63" s="62">
        <v>3000.0</v>
      </c>
      <c r="O63" s="62"/>
      <c r="P63" s="62">
        <v>2000.0</v>
      </c>
      <c r="Q63" s="62"/>
      <c r="R63" s="62">
        <v>0.0</v>
      </c>
      <c r="S63" s="62"/>
      <c r="T63" s="62">
        <v>0.0</v>
      </c>
      <c r="U63" s="62"/>
      <c r="V63" s="62">
        <v>0.0</v>
      </c>
      <c r="W63" s="62"/>
      <c r="X63" s="62">
        <v>1000.0</v>
      </c>
      <c r="Y63" s="62"/>
      <c r="Z63" s="62">
        <v>0.0</v>
      </c>
      <c r="AA63" s="62"/>
      <c r="AB63" s="62">
        <v>0.0</v>
      </c>
      <c r="AC63" s="62"/>
      <c r="AD63" s="62">
        <v>0.0</v>
      </c>
      <c r="AE63" s="62"/>
      <c r="AF63" s="62">
        <v>3000.0</v>
      </c>
      <c r="AG63" s="62"/>
      <c r="AH63" s="62">
        <v>3000.0</v>
      </c>
      <c r="AI63" s="62"/>
      <c r="AJ63" s="62">
        <v>2000.0</v>
      </c>
      <c r="AK63" s="62"/>
      <c r="AL63" s="62">
        <v>2000.0</v>
      </c>
      <c r="AM63" s="62"/>
      <c r="AN63" s="62">
        <v>0.0</v>
      </c>
      <c r="AO63" s="62"/>
      <c r="AP63" s="62">
        <v>1000.0</v>
      </c>
      <c r="AQ63" s="62"/>
      <c r="AR63" s="62">
        <v>3000.0</v>
      </c>
      <c r="AS63" s="62"/>
      <c r="AT63" s="62">
        <v>1000.0</v>
      </c>
      <c r="AU63" s="62"/>
      <c r="AV63" s="62">
        <v>4000.0</v>
      </c>
      <c r="AW63" s="62"/>
      <c r="AX63" s="62">
        <v>0.0</v>
      </c>
      <c r="AY63" s="62">
        <v>1000.0</v>
      </c>
      <c r="AZ63" s="62">
        <v>5000.0</v>
      </c>
    </row>
    <row r="64" ht="22.5" customHeight="1">
      <c r="A64" s="62" t="s">
        <v>95</v>
      </c>
      <c r="B64" s="62" t="s">
        <v>1146</v>
      </c>
      <c r="C64" s="62" t="s">
        <v>1147</v>
      </c>
      <c r="D64" s="62">
        <v>2026.0</v>
      </c>
      <c r="E64" s="63">
        <v>29.4711171643</v>
      </c>
      <c r="F64" s="62">
        <v>0.0</v>
      </c>
      <c r="G64" s="71"/>
      <c r="H64" s="71">
        <v>0.0</v>
      </c>
      <c r="I64" s="71"/>
      <c r="J64" s="71">
        <v>25000.0</v>
      </c>
      <c r="K64" s="64"/>
      <c r="L64" s="64" t="s">
        <v>1092</v>
      </c>
      <c r="M64" s="62"/>
      <c r="N64" s="62">
        <v>25000.0</v>
      </c>
      <c r="O64" s="62"/>
      <c r="P64" s="62">
        <v>10000.0</v>
      </c>
      <c r="Q64" s="62"/>
      <c r="R64" s="62">
        <v>0.0</v>
      </c>
      <c r="S64" s="62"/>
      <c r="T64" s="62">
        <v>18000.0</v>
      </c>
      <c r="U64" s="62"/>
      <c r="V64" s="62">
        <v>18000.0</v>
      </c>
      <c r="W64" s="62"/>
      <c r="X64" s="62">
        <v>12000.0</v>
      </c>
      <c r="Y64" s="62"/>
      <c r="Z64" s="62">
        <v>0.0</v>
      </c>
      <c r="AA64" s="62"/>
      <c r="AB64" s="62">
        <v>3000.0</v>
      </c>
      <c r="AC64" s="62"/>
      <c r="AD64" s="62">
        <v>12000.0</v>
      </c>
      <c r="AE64" s="62"/>
      <c r="AF64" s="62">
        <v>30000.0</v>
      </c>
      <c r="AG64" s="62"/>
      <c r="AH64" s="62">
        <v>8000.0</v>
      </c>
      <c r="AI64" s="62"/>
      <c r="AJ64" s="62">
        <v>0.0</v>
      </c>
      <c r="AK64" s="62"/>
      <c r="AL64" s="62">
        <v>0.0</v>
      </c>
      <c r="AM64" s="62"/>
      <c r="AN64" s="62">
        <v>3000.0</v>
      </c>
      <c r="AO64" s="62"/>
      <c r="AP64" s="62">
        <v>3000.0</v>
      </c>
      <c r="AQ64" s="62"/>
      <c r="AR64" s="62">
        <v>9000.0</v>
      </c>
      <c r="AS64" s="62"/>
      <c r="AT64" s="62">
        <v>15000.0</v>
      </c>
      <c r="AU64" s="62"/>
      <c r="AV64" s="62">
        <v>15000.0</v>
      </c>
      <c r="AW64" s="62"/>
      <c r="AX64" s="62">
        <v>0.0</v>
      </c>
      <c r="AY64" s="62">
        <v>0.0</v>
      </c>
      <c r="AZ64" s="62">
        <v>0.0</v>
      </c>
    </row>
    <row r="65" ht="22.5" customHeight="1">
      <c r="A65" s="62" t="s">
        <v>95</v>
      </c>
      <c r="B65" s="62" t="s">
        <v>1099</v>
      </c>
      <c r="C65" s="62" t="s">
        <v>1100</v>
      </c>
      <c r="D65" s="62">
        <v>2022.0</v>
      </c>
      <c r="E65" s="63">
        <v>41.9793488172</v>
      </c>
      <c r="F65" s="62">
        <v>24000.0</v>
      </c>
      <c r="G65" s="71"/>
      <c r="H65" s="71">
        <v>15000.0</v>
      </c>
      <c r="I65" s="71"/>
      <c r="J65" s="71">
        <v>15000.0</v>
      </c>
      <c r="K65" s="64"/>
      <c r="L65" s="64" t="s">
        <v>1092</v>
      </c>
      <c r="M65" s="62"/>
      <c r="N65" s="62">
        <v>15000.0</v>
      </c>
      <c r="O65" s="62"/>
      <c r="P65" s="62">
        <v>25000.0</v>
      </c>
      <c r="Q65" s="62"/>
      <c r="R65" s="62">
        <v>20000.0</v>
      </c>
      <c r="S65" s="62"/>
      <c r="T65" s="62">
        <v>10000.0</v>
      </c>
      <c r="U65" s="62"/>
      <c r="V65" s="62">
        <v>5000.0</v>
      </c>
      <c r="W65" s="62"/>
      <c r="X65" s="62">
        <v>0.0</v>
      </c>
      <c r="Y65" s="62"/>
      <c r="Z65" s="62">
        <v>0.0</v>
      </c>
      <c r="AA65" s="62"/>
      <c r="AB65" s="62">
        <v>30000.0</v>
      </c>
      <c r="AC65" s="62"/>
      <c r="AD65" s="62">
        <v>15000.0</v>
      </c>
      <c r="AE65" s="62"/>
      <c r="AF65" s="62">
        <v>20000.0</v>
      </c>
      <c r="AG65" s="62"/>
      <c r="AH65" s="62">
        <v>10000.0</v>
      </c>
      <c r="AI65" s="62"/>
      <c r="AJ65" s="62">
        <v>5000.0</v>
      </c>
      <c r="AK65" s="62"/>
      <c r="AL65" s="62">
        <v>5000.0</v>
      </c>
      <c r="AM65" s="62"/>
      <c r="AN65" s="62">
        <v>3000.0</v>
      </c>
      <c r="AO65" s="62"/>
      <c r="AP65" s="62">
        <v>0.0</v>
      </c>
      <c r="AQ65" s="62"/>
      <c r="AR65" s="62">
        <v>0.0</v>
      </c>
      <c r="AS65" s="62"/>
      <c r="AT65" s="62">
        <v>16000.0</v>
      </c>
      <c r="AU65" s="62"/>
      <c r="AV65" s="62">
        <v>24000.0</v>
      </c>
      <c r="AW65" s="62"/>
      <c r="AX65" s="62">
        <v>20000.0</v>
      </c>
      <c r="AY65" s="62">
        <v>0.0</v>
      </c>
      <c r="AZ65" s="62">
        <v>0.0</v>
      </c>
    </row>
    <row r="66" ht="22.5" customHeight="1">
      <c r="A66" s="62" t="s">
        <v>234</v>
      </c>
      <c r="B66" s="62" t="s">
        <v>1135</v>
      </c>
      <c r="C66" s="62" t="s">
        <v>1148</v>
      </c>
      <c r="D66" s="62">
        <v>2026.0</v>
      </c>
      <c r="E66" s="63">
        <v>16.5529615454</v>
      </c>
      <c r="F66" s="62">
        <v>12000.0</v>
      </c>
      <c r="G66" s="71"/>
      <c r="H66" s="71">
        <v>10000.0</v>
      </c>
      <c r="I66" s="71"/>
      <c r="J66" s="71">
        <v>3000.0</v>
      </c>
      <c r="K66" s="64"/>
      <c r="L66" s="64" t="s">
        <v>1092</v>
      </c>
      <c r="M66" s="62"/>
      <c r="N66" s="62">
        <v>5000.0</v>
      </c>
      <c r="O66" s="62"/>
      <c r="P66" s="62">
        <v>5000.0</v>
      </c>
      <c r="Q66" s="62"/>
      <c r="R66" s="62">
        <v>3000.0</v>
      </c>
      <c r="S66" s="62"/>
      <c r="T66" s="62">
        <v>6000.0</v>
      </c>
      <c r="U66" s="62"/>
      <c r="V66" s="62">
        <v>0.0</v>
      </c>
      <c r="W66" s="62"/>
      <c r="X66" s="62">
        <v>0.0</v>
      </c>
      <c r="Y66" s="62"/>
      <c r="Z66" s="62">
        <v>0.0</v>
      </c>
      <c r="AA66" s="62"/>
      <c r="AB66" s="62">
        <v>8000.0</v>
      </c>
      <c r="AC66" s="62"/>
      <c r="AD66" s="62">
        <v>5000.0</v>
      </c>
      <c r="AE66" s="62"/>
      <c r="AF66" s="62">
        <v>12000.0</v>
      </c>
      <c r="AG66" s="62"/>
      <c r="AH66" s="62">
        <v>5000.0</v>
      </c>
      <c r="AI66" s="62"/>
      <c r="AJ66" s="62">
        <v>2000.0</v>
      </c>
      <c r="AK66" s="62"/>
      <c r="AL66" s="62">
        <v>7000.0</v>
      </c>
      <c r="AM66" s="62"/>
      <c r="AN66" s="62">
        <v>12000.0</v>
      </c>
      <c r="AO66" s="62"/>
      <c r="AP66" s="62">
        <v>5000.0</v>
      </c>
      <c r="AQ66" s="62"/>
      <c r="AR66" s="62">
        <v>0.0</v>
      </c>
      <c r="AS66" s="62"/>
      <c r="AT66" s="62">
        <v>0.0</v>
      </c>
      <c r="AU66" s="62"/>
      <c r="AV66" s="62">
        <v>0.0</v>
      </c>
      <c r="AW66" s="62"/>
      <c r="AX66" s="62">
        <v>0.0</v>
      </c>
      <c r="AY66" s="62">
        <v>7000.0</v>
      </c>
      <c r="AZ66" s="62">
        <v>0.0</v>
      </c>
    </row>
    <row r="67" ht="22.5" customHeight="1">
      <c r="A67" s="62" t="s">
        <v>234</v>
      </c>
      <c r="B67" s="62" t="s">
        <v>1109</v>
      </c>
      <c r="C67" s="62" t="s">
        <v>1110</v>
      </c>
      <c r="D67" s="62">
        <v>2022.0</v>
      </c>
      <c r="E67" s="63">
        <v>23.0283132751</v>
      </c>
      <c r="F67" s="62">
        <v>1000.0</v>
      </c>
      <c r="G67" s="71"/>
      <c r="H67" s="71">
        <v>0.0</v>
      </c>
      <c r="I67" s="71"/>
      <c r="J67" s="71">
        <v>25000.0</v>
      </c>
      <c r="K67" s="64"/>
      <c r="L67" s="64" t="s">
        <v>1092</v>
      </c>
      <c r="M67" s="62"/>
      <c r="N67" s="62">
        <v>9000.0</v>
      </c>
      <c r="O67" s="62"/>
      <c r="P67" s="62">
        <v>0.0</v>
      </c>
      <c r="Q67" s="62"/>
      <c r="R67" s="62">
        <v>0.0</v>
      </c>
      <c r="S67" s="62"/>
      <c r="T67" s="62">
        <v>0.0</v>
      </c>
      <c r="U67" s="62"/>
      <c r="V67" s="62">
        <v>0.0</v>
      </c>
      <c r="W67" s="62"/>
      <c r="X67" s="62">
        <v>0.0</v>
      </c>
      <c r="Y67" s="62"/>
      <c r="Z67" s="62">
        <v>0.0</v>
      </c>
      <c r="AA67" s="62"/>
      <c r="AB67" s="62">
        <v>0.0</v>
      </c>
      <c r="AC67" s="62"/>
      <c r="AD67" s="62">
        <v>0.0</v>
      </c>
      <c r="AE67" s="62"/>
      <c r="AF67" s="62">
        <v>5000.0</v>
      </c>
      <c r="AG67" s="62"/>
      <c r="AH67" s="62">
        <v>3.0</v>
      </c>
      <c r="AI67" s="62"/>
      <c r="AJ67" s="62">
        <v>8000.0</v>
      </c>
      <c r="AK67" s="62"/>
      <c r="AL67" s="62">
        <v>7000.0</v>
      </c>
      <c r="AM67" s="62"/>
      <c r="AN67" s="62">
        <v>7000.0</v>
      </c>
      <c r="AO67" s="62"/>
      <c r="AP67" s="62">
        <v>7000.0</v>
      </c>
      <c r="AQ67" s="62"/>
      <c r="AR67" s="62">
        <v>0.0</v>
      </c>
      <c r="AS67" s="62"/>
      <c r="AT67" s="62">
        <v>12000.0</v>
      </c>
      <c r="AU67" s="62"/>
      <c r="AV67" s="62">
        <v>10000.0</v>
      </c>
      <c r="AW67" s="62"/>
      <c r="AX67" s="62">
        <v>5000.0</v>
      </c>
      <c r="AY67" s="62">
        <v>0.0</v>
      </c>
      <c r="AZ67" s="62">
        <v>0.0</v>
      </c>
    </row>
    <row r="68" ht="22.5" customHeight="1">
      <c r="A68" s="62" t="s">
        <v>234</v>
      </c>
      <c r="B68" s="62" t="s">
        <v>1133</v>
      </c>
      <c r="C68" s="62" t="s">
        <v>1134</v>
      </c>
      <c r="D68" s="62">
        <v>2025.0</v>
      </c>
      <c r="E68" s="63">
        <v>53.6279968265</v>
      </c>
      <c r="F68" s="62">
        <v>0.0</v>
      </c>
      <c r="G68" s="71"/>
      <c r="H68" s="71">
        <v>0.0</v>
      </c>
      <c r="I68" s="71"/>
      <c r="J68" s="71">
        <v>0.0</v>
      </c>
      <c r="K68" s="64"/>
      <c r="L68" s="64" t="s">
        <v>1092</v>
      </c>
      <c r="M68" s="62"/>
      <c r="N68" s="62">
        <v>10000.0</v>
      </c>
      <c r="O68" s="62"/>
      <c r="P68" s="62">
        <v>10000.0</v>
      </c>
      <c r="Q68" s="62"/>
      <c r="R68" s="62">
        <v>0.0</v>
      </c>
      <c r="S68" s="62"/>
      <c r="T68" s="62">
        <v>20000.0</v>
      </c>
      <c r="U68" s="62"/>
      <c r="V68" s="62">
        <v>20000.0</v>
      </c>
      <c r="W68" s="62"/>
      <c r="X68" s="62">
        <v>15000.0</v>
      </c>
      <c r="Y68" s="62"/>
      <c r="Z68" s="62">
        <v>10000.0</v>
      </c>
      <c r="AA68" s="62"/>
      <c r="AB68" s="62">
        <v>0.0</v>
      </c>
      <c r="AC68" s="62"/>
      <c r="AD68" s="62">
        <v>0.0</v>
      </c>
      <c r="AE68" s="62"/>
      <c r="AF68" s="62">
        <v>10000.0</v>
      </c>
      <c r="AG68" s="62"/>
      <c r="AH68" s="62">
        <v>25000.0</v>
      </c>
      <c r="AI68" s="62"/>
      <c r="AJ68" s="62">
        <v>30000.0</v>
      </c>
      <c r="AK68" s="62"/>
      <c r="AL68" s="62">
        <v>20000.0</v>
      </c>
      <c r="AM68" s="62"/>
      <c r="AN68" s="62">
        <v>0.0</v>
      </c>
      <c r="AO68" s="62"/>
      <c r="AP68" s="62">
        <v>27000.0</v>
      </c>
      <c r="AQ68" s="62"/>
      <c r="AR68" s="62">
        <v>30000.0</v>
      </c>
      <c r="AS68" s="62"/>
      <c r="AT68" s="62">
        <v>26000.0</v>
      </c>
      <c r="AU68" s="62"/>
      <c r="AV68" s="62">
        <v>0.0</v>
      </c>
      <c r="AW68" s="62"/>
      <c r="AX68" s="62">
        <v>0.0</v>
      </c>
      <c r="AY68" s="62">
        <v>0.0</v>
      </c>
      <c r="AZ68" s="62">
        <v>0.0</v>
      </c>
    </row>
    <row r="69" ht="22.5" customHeight="1">
      <c r="A69" s="62" t="s">
        <v>234</v>
      </c>
      <c r="B69" s="62" t="s">
        <v>1107</v>
      </c>
      <c r="C69" s="62" t="s">
        <v>1108</v>
      </c>
      <c r="D69" s="62">
        <v>2022.0</v>
      </c>
      <c r="E69" s="63">
        <v>52.1536105648</v>
      </c>
      <c r="F69" s="62">
        <v>7000.0</v>
      </c>
      <c r="G69" s="71"/>
      <c r="H69" s="71">
        <v>0.0</v>
      </c>
      <c r="I69" s="71"/>
      <c r="J69" s="71">
        <v>10000.0</v>
      </c>
      <c r="K69" s="64"/>
      <c r="L69" s="64" t="s">
        <v>1092</v>
      </c>
      <c r="M69" s="62"/>
      <c r="N69" s="62">
        <v>18000.0</v>
      </c>
      <c r="O69" s="62"/>
      <c r="P69" s="62">
        <v>0.0</v>
      </c>
      <c r="Q69" s="62"/>
      <c r="R69" s="62">
        <v>0.0</v>
      </c>
      <c r="S69" s="62"/>
      <c r="T69" s="62">
        <v>25000.0</v>
      </c>
      <c r="U69" s="62"/>
      <c r="V69" s="62">
        <v>20000.0</v>
      </c>
      <c r="W69" s="62"/>
      <c r="X69" s="62">
        <v>15000.0</v>
      </c>
      <c r="Y69" s="62"/>
      <c r="Z69" s="62">
        <v>10000.0</v>
      </c>
      <c r="AA69" s="62"/>
      <c r="AB69" s="62">
        <v>0.0</v>
      </c>
      <c r="AC69" s="62"/>
      <c r="AD69" s="62">
        <v>0.0</v>
      </c>
      <c r="AE69" s="62"/>
      <c r="AF69" s="62">
        <v>25000.0</v>
      </c>
      <c r="AG69" s="62"/>
      <c r="AH69" s="62">
        <v>20000.0</v>
      </c>
      <c r="AI69" s="62"/>
      <c r="AJ69" s="62">
        <v>6000.0</v>
      </c>
      <c r="AK69" s="62"/>
      <c r="AL69" s="62">
        <v>6000.0</v>
      </c>
      <c r="AM69" s="62"/>
      <c r="AN69" s="62">
        <v>8000.0</v>
      </c>
      <c r="AO69" s="62"/>
      <c r="AP69" s="62">
        <v>0.0</v>
      </c>
      <c r="AQ69" s="62"/>
      <c r="AR69" s="62">
        <v>0.0</v>
      </c>
      <c r="AS69" s="62"/>
      <c r="AT69" s="62">
        <v>31000.0</v>
      </c>
      <c r="AU69" s="62"/>
      <c r="AV69" s="62">
        <v>31000.0</v>
      </c>
      <c r="AW69" s="62"/>
      <c r="AX69" s="62">
        <v>15000.0</v>
      </c>
      <c r="AY69" s="62">
        <v>10000.0</v>
      </c>
      <c r="AZ69" s="62">
        <v>0.0</v>
      </c>
    </row>
    <row r="70" ht="22.5" customHeight="1">
      <c r="A70" s="62" t="s">
        <v>234</v>
      </c>
      <c r="B70" s="62" t="s">
        <v>1151</v>
      </c>
      <c r="C70" s="62" t="s">
        <v>1152</v>
      </c>
      <c r="D70" s="62">
        <v>2026.0</v>
      </c>
      <c r="E70" s="63">
        <v>6.73257861682</v>
      </c>
      <c r="F70" s="62">
        <v>1000.0</v>
      </c>
      <c r="G70" s="71"/>
      <c r="H70" s="71">
        <v>1000.0</v>
      </c>
      <c r="I70" s="71"/>
      <c r="J70" s="71">
        <v>0.0</v>
      </c>
      <c r="K70" s="64"/>
      <c r="L70" s="64" t="s">
        <v>1092</v>
      </c>
      <c r="M70" s="62"/>
      <c r="N70" s="62">
        <v>0.0</v>
      </c>
      <c r="O70" s="62"/>
      <c r="P70" s="62">
        <v>0.0</v>
      </c>
      <c r="Q70" s="62"/>
      <c r="R70" s="62">
        <v>0.0</v>
      </c>
      <c r="S70" s="62"/>
      <c r="T70" s="62">
        <v>0.0</v>
      </c>
      <c r="U70" s="62"/>
      <c r="V70" s="62">
        <v>0.0</v>
      </c>
      <c r="W70" s="62"/>
      <c r="X70" s="62">
        <v>3000.0</v>
      </c>
      <c r="Y70" s="62"/>
      <c r="Z70" s="62">
        <v>3000.0</v>
      </c>
      <c r="AA70" s="62"/>
      <c r="AB70" s="62">
        <v>3000.0</v>
      </c>
      <c r="AC70" s="62"/>
      <c r="AD70" s="62">
        <v>0.0</v>
      </c>
      <c r="AE70" s="62"/>
      <c r="AF70" s="62">
        <v>0.0</v>
      </c>
      <c r="AG70" s="62"/>
      <c r="AH70" s="62">
        <v>0.0</v>
      </c>
      <c r="AI70" s="62"/>
      <c r="AJ70" s="62">
        <v>0.0</v>
      </c>
      <c r="AK70" s="62"/>
      <c r="AL70" s="62">
        <v>1000.0</v>
      </c>
      <c r="AM70" s="62"/>
      <c r="AN70" s="62">
        <v>3000.0</v>
      </c>
      <c r="AO70" s="62"/>
      <c r="AP70" s="62">
        <v>0.0</v>
      </c>
      <c r="AQ70" s="62"/>
      <c r="AR70" s="62">
        <v>0.0</v>
      </c>
      <c r="AS70" s="62"/>
      <c r="AT70" s="62">
        <v>0.0</v>
      </c>
      <c r="AU70" s="62"/>
      <c r="AV70" s="62">
        <v>3500.0</v>
      </c>
      <c r="AW70" s="62"/>
      <c r="AX70" s="62">
        <v>3500.0</v>
      </c>
      <c r="AY70" s="62">
        <v>2000.0</v>
      </c>
      <c r="AZ70" s="62">
        <v>0.0</v>
      </c>
    </row>
    <row r="71" ht="22.5" customHeight="1">
      <c r="A71" s="62" t="s">
        <v>234</v>
      </c>
      <c r="B71" s="62" t="s">
        <v>1149</v>
      </c>
      <c r="C71" s="62" t="s">
        <v>1150</v>
      </c>
      <c r="D71" s="62">
        <v>2026.0</v>
      </c>
      <c r="E71" s="63">
        <v>21.9569411482</v>
      </c>
      <c r="F71" s="62">
        <v>0.0</v>
      </c>
      <c r="G71" s="71"/>
      <c r="H71" s="71">
        <v>0.0</v>
      </c>
      <c r="I71" s="71"/>
      <c r="J71" s="71">
        <v>15000.0</v>
      </c>
      <c r="K71" s="64"/>
      <c r="L71" s="64" t="s">
        <v>1092</v>
      </c>
      <c r="M71" s="62"/>
      <c r="N71" s="62">
        <v>11000.0</v>
      </c>
      <c r="O71" s="62"/>
      <c r="P71" s="62">
        <v>11000.0</v>
      </c>
      <c r="Q71" s="62"/>
      <c r="R71" s="62">
        <v>0.0</v>
      </c>
      <c r="S71" s="62"/>
      <c r="T71" s="62">
        <v>11000.0</v>
      </c>
      <c r="U71" s="62"/>
      <c r="V71" s="62">
        <v>11000.0</v>
      </c>
      <c r="W71" s="62"/>
      <c r="X71" s="62">
        <v>15000.0</v>
      </c>
      <c r="Y71" s="62"/>
      <c r="Z71" s="62">
        <v>11000.0</v>
      </c>
      <c r="AA71" s="62"/>
      <c r="AB71" s="62">
        <v>6000.0</v>
      </c>
      <c r="AC71" s="62"/>
      <c r="AD71" s="62">
        <v>0.0</v>
      </c>
      <c r="AE71" s="62"/>
      <c r="AF71" s="62">
        <v>4000.0</v>
      </c>
      <c r="AG71" s="62"/>
      <c r="AH71" s="62">
        <v>8000.0</v>
      </c>
      <c r="AI71" s="62"/>
      <c r="AJ71" s="62">
        <v>6000.0</v>
      </c>
      <c r="AK71" s="62"/>
      <c r="AL71" s="62">
        <v>4000.0</v>
      </c>
      <c r="AM71" s="62"/>
      <c r="AN71" s="62">
        <v>2000.0</v>
      </c>
      <c r="AO71" s="62"/>
      <c r="AP71" s="62">
        <v>11000.0</v>
      </c>
      <c r="AQ71" s="62"/>
      <c r="AR71" s="62">
        <v>6000.0</v>
      </c>
      <c r="AS71" s="62"/>
      <c r="AT71" s="62">
        <v>7000.0</v>
      </c>
      <c r="AU71" s="62"/>
      <c r="AV71" s="62">
        <v>4000.0</v>
      </c>
      <c r="AW71" s="62"/>
      <c r="AX71" s="62">
        <v>0.0</v>
      </c>
      <c r="AY71" s="62">
        <v>0.0</v>
      </c>
      <c r="AZ71" s="62">
        <v>0.0</v>
      </c>
    </row>
    <row r="72" ht="22.5" customHeight="1">
      <c r="A72" s="62" t="s">
        <v>234</v>
      </c>
      <c r="B72" s="62" t="s">
        <v>1172</v>
      </c>
      <c r="C72" s="62" t="s">
        <v>1173</v>
      </c>
      <c r="D72" s="62" t="s">
        <v>1163</v>
      </c>
      <c r="E72" s="63">
        <v>14.3042001117</v>
      </c>
      <c r="F72" s="62">
        <v>6000.0</v>
      </c>
      <c r="G72" s="71"/>
      <c r="H72" s="71">
        <v>2000.0</v>
      </c>
      <c r="I72" s="71"/>
      <c r="J72" s="71">
        <v>1000.0</v>
      </c>
      <c r="K72" s="64"/>
      <c r="L72" s="64" t="s">
        <v>1092</v>
      </c>
      <c r="M72" s="62"/>
      <c r="N72" s="62">
        <v>0.0</v>
      </c>
      <c r="O72" s="62"/>
      <c r="P72" s="62">
        <v>0.0</v>
      </c>
      <c r="Q72" s="62"/>
      <c r="R72" s="62">
        <v>0.0</v>
      </c>
      <c r="S72" s="62"/>
      <c r="T72" s="62">
        <v>0.0</v>
      </c>
      <c r="U72" s="62"/>
      <c r="V72" s="62">
        <v>0.0</v>
      </c>
      <c r="W72" s="62"/>
      <c r="X72" s="62">
        <v>6000.0</v>
      </c>
      <c r="Y72" s="62"/>
      <c r="Z72" s="62">
        <v>8000.0</v>
      </c>
      <c r="AA72" s="62"/>
      <c r="AB72" s="62">
        <v>3000.0</v>
      </c>
      <c r="AC72" s="62"/>
      <c r="AD72" s="62">
        <v>1500.0</v>
      </c>
      <c r="AE72" s="62"/>
      <c r="AF72" s="62">
        <v>0.0</v>
      </c>
      <c r="AG72" s="62"/>
      <c r="AH72" s="62">
        <v>0.0</v>
      </c>
      <c r="AI72" s="62"/>
      <c r="AJ72" s="62">
        <v>2000.0</v>
      </c>
      <c r="AK72" s="62"/>
      <c r="AL72" s="62">
        <v>2000.0</v>
      </c>
      <c r="AM72" s="62"/>
      <c r="AN72" s="62">
        <v>4000.0</v>
      </c>
      <c r="AO72" s="62"/>
      <c r="AP72" s="62">
        <v>5000.0</v>
      </c>
      <c r="AQ72" s="62"/>
      <c r="AR72" s="62">
        <v>0.0</v>
      </c>
      <c r="AS72" s="62"/>
      <c r="AT72" s="62">
        <v>0.0</v>
      </c>
      <c r="AU72" s="62"/>
      <c r="AV72" s="62">
        <v>0.0</v>
      </c>
      <c r="AW72" s="62"/>
      <c r="AX72" s="62">
        <v>0.0</v>
      </c>
      <c r="AY72" s="62">
        <v>0.0</v>
      </c>
      <c r="AZ72" s="62">
        <v>0.0</v>
      </c>
    </row>
    <row r="73" ht="22.5" customHeight="1">
      <c r="A73" s="62" t="s">
        <v>95</v>
      </c>
      <c r="B73" s="62" t="s">
        <v>1115</v>
      </c>
      <c r="C73" s="62" t="s">
        <v>1116</v>
      </c>
      <c r="D73" s="62">
        <v>2023.0</v>
      </c>
      <c r="E73" s="63">
        <v>30.7513054957</v>
      </c>
      <c r="F73" s="62">
        <v>0.0</v>
      </c>
      <c r="G73" s="71"/>
      <c r="H73" s="71">
        <v>0.0</v>
      </c>
      <c r="I73" s="71"/>
      <c r="J73" s="71">
        <v>0.0</v>
      </c>
      <c r="K73" s="64"/>
      <c r="L73" s="64" t="s">
        <v>1092</v>
      </c>
      <c r="M73" s="62"/>
      <c r="N73" s="62">
        <v>4000.0</v>
      </c>
      <c r="O73" s="62"/>
      <c r="P73" s="62">
        <v>4000.0</v>
      </c>
      <c r="Q73" s="62"/>
      <c r="R73" s="62">
        <v>0.0</v>
      </c>
      <c r="S73" s="62"/>
      <c r="T73" s="62">
        <v>0.0</v>
      </c>
      <c r="U73" s="62"/>
      <c r="V73" s="62">
        <v>0.0</v>
      </c>
      <c r="W73" s="62"/>
      <c r="X73" s="62">
        <v>4000.0</v>
      </c>
      <c r="Y73" s="62"/>
      <c r="Z73" s="62">
        <v>3000.0</v>
      </c>
      <c r="AA73" s="62"/>
      <c r="AB73" s="62">
        <v>0.0</v>
      </c>
      <c r="AC73" s="62"/>
      <c r="AD73" s="62">
        <v>0.0</v>
      </c>
      <c r="AE73" s="62"/>
      <c r="AF73" s="62">
        <v>2000.0</v>
      </c>
      <c r="AG73" s="62"/>
      <c r="AH73" s="62">
        <v>6000.0</v>
      </c>
      <c r="AI73" s="62"/>
      <c r="AJ73" s="62">
        <v>2000.0</v>
      </c>
      <c r="AK73" s="62"/>
      <c r="AL73" s="62">
        <v>3000.0</v>
      </c>
      <c r="AM73" s="62"/>
      <c r="AN73" s="62">
        <v>7500.0</v>
      </c>
      <c r="AO73" s="62"/>
      <c r="AP73" s="62">
        <v>0.0</v>
      </c>
      <c r="AQ73" s="62"/>
      <c r="AR73" s="62">
        <v>0.0</v>
      </c>
      <c r="AS73" s="62"/>
      <c r="AT73" s="62">
        <v>0.0</v>
      </c>
      <c r="AU73" s="62"/>
      <c r="AV73" s="62">
        <v>13000.0</v>
      </c>
      <c r="AW73" s="62"/>
      <c r="AX73" s="62">
        <v>21000.0</v>
      </c>
      <c r="AY73" s="62">
        <v>0.0</v>
      </c>
      <c r="AZ73" s="62">
        <v>0.0</v>
      </c>
    </row>
    <row r="74" ht="22.5" customHeight="1">
      <c r="A74" s="62" t="s">
        <v>95</v>
      </c>
      <c r="B74" s="62" t="s">
        <v>1125</v>
      </c>
      <c r="C74" s="62" t="s">
        <v>1126</v>
      </c>
      <c r="D74" s="62">
        <v>2024.0</v>
      </c>
      <c r="E74" s="63">
        <v>32.6661500852</v>
      </c>
      <c r="F74" s="62">
        <v>0.0</v>
      </c>
      <c r="G74" s="71"/>
      <c r="H74" s="71">
        <v>0.0</v>
      </c>
      <c r="I74" s="71"/>
      <c r="J74" s="71">
        <v>30000.0</v>
      </c>
      <c r="K74" s="64"/>
      <c r="L74" s="64" t="s">
        <v>1092</v>
      </c>
      <c r="M74" s="62"/>
      <c r="N74" s="62">
        <v>22000.0</v>
      </c>
      <c r="O74" s="62"/>
      <c r="P74" s="62">
        <v>5000.0</v>
      </c>
      <c r="Q74" s="62"/>
      <c r="R74" s="62">
        <v>12000.0</v>
      </c>
      <c r="S74" s="62"/>
      <c r="T74" s="62">
        <v>18000.0</v>
      </c>
      <c r="U74" s="62"/>
      <c r="V74" s="62">
        <v>18000.0</v>
      </c>
      <c r="W74" s="62"/>
      <c r="X74" s="62">
        <v>0.0</v>
      </c>
      <c r="Y74" s="62"/>
      <c r="Z74" s="62">
        <v>0.0</v>
      </c>
      <c r="AA74" s="62"/>
      <c r="AB74" s="62">
        <v>3000.0</v>
      </c>
      <c r="AC74" s="62"/>
      <c r="AD74" s="62">
        <v>15000.0</v>
      </c>
      <c r="AE74" s="62"/>
      <c r="AF74" s="62">
        <v>36000.0</v>
      </c>
      <c r="AG74" s="62"/>
      <c r="AH74" s="62">
        <v>8000.0</v>
      </c>
      <c r="AI74" s="62"/>
      <c r="AJ74" s="62">
        <v>0.0</v>
      </c>
      <c r="AK74" s="62"/>
      <c r="AL74" s="62">
        <v>3000.0</v>
      </c>
      <c r="AM74" s="62"/>
      <c r="AN74" s="62">
        <v>7500.0</v>
      </c>
      <c r="AO74" s="62"/>
      <c r="AP74" s="62">
        <v>10000.0</v>
      </c>
      <c r="AQ74" s="62"/>
      <c r="AR74" s="62">
        <v>6000.0</v>
      </c>
      <c r="AS74" s="62"/>
      <c r="AT74" s="62">
        <v>0.0</v>
      </c>
      <c r="AU74" s="62"/>
      <c r="AV74" s="62">
        <v>0.0</v>
      </c>
      <c r="AW74" s="62"/>
      <c r="AX74" s="62">
        <v>15000.0</v>
      </c>
      <c r="AY74" s="62">
        <v>25000.0</v>
      </c>
      <c r="AZ74" s="62">
        <v>0.0</v>
      </c>
    </row>
    <row r="75" ht="22.5" customHeight="1">
      <c r="A75" s="62" t="s">
        <v>95</v>
      </c>
      <c r="B75" s="62" t="s">
        <v>1127</v>
      </c>
      <c r="C75" s="62" t="s">
        <v>1128</v>
      </c>
      <c r="D75" s="62">
        <v>2024.0</v>
      </c>
      <c r="E75" s="63">
        <v>8.50617469066</v>
      </c>
      <c r="F75" s="62">
        <v>0.0</v>
      </c>
      <c r="G75" s="71"/>
      <c r="H75" s="71">
        <v>0.0</v>
      </c>
      <c r="I75" s="71"/>
      <c r="J75" s="71">
        <v>6000.0</v>
      </c>
      <c r="K75" s="64"/>
      <c r="L75" s="64" t="s">
        <v>1092</v>
      </c>
      <c r="M75" s="62"/>
      <c r="N75" s="62">
        <v>2500.0</v>
      </c>
      <c r="O75" s="62"/>
      <c r="P75" s="62">
        <v>1000.0</v>
      </c>
      <c r="Q75" s="62"/>
      <c r="R75" s="62">
        <v>4000.0</v>
      </c>
      <c r="S75" s="62"/>
      <c r="T75" s="62">
        <v>3000.0</v>
      </c>
      <c r="U75" s="62"/>
      <c r="V75" s="62">
        <v>0.0</v>
      </c>
      <c r="W75" s="62"/>
      <c r="X75" s="62">
        <v>0.0</v>
      </c>
      <c r="Y75" s="62"/>
      <c r="Z75" s="62">
        <v>0.0</v>
      </c>
      <c r="AA75" s="62"/>
      <c r="AB75" s="62">
        <v>1000.0</v>
      </c>
      <c r="AC75" s="62"/>
      <c r="AD75" s="62">
        <v>3500.0</v>
      </c>
      <c r="AE75" s="62"/>
      <c r="AF75" s="62">
        <v>3500.0</v>
      </c>
      <c r="AG75" s="62"/>
      <c r="AH75" s="62">
        <v>2000.0</v>
      </c>
      <c r="AI75" s="62"/>
      <c r="AJ75" s="62">
        <v>0.0</v>
      </c>
      <c r="AK75" s="62"/>
      <c r="AL75" s="62">
        <v>2000.0</v>
      </c>
      <c r="AM75" s="62"/>
      <c r="AN75" s="62">
        <v>3000.0</v>
      </c>
      <c r="AO75" s="62"/>
      <c r="AP75" s="62">
        <v>3000.0</v>
      </c>
      <c r="AQ75" s="62"/>
      <c r="AR75" s="62">
        <v>1000.0</v>
      </c>
      <c r="AS75" s="62"/>
      <c r="AT75" s="62">
        <v>0.0</v>
      </c>
      <c r="AU75" s="62"/>
      <c r="AV75" s="62">
        <v>0.0</v>
      </c>
      <c r="AW75" s="62"/>
      <c r="AX75" s="62">
        <v>2500.0</v>
      </c>
      <c r="AY75" s="62">
        <v>6000.0</v>
      </c>
      <c r="AZ75" s="62">
        <v>0.0</v>
      </c>
    </row>
    <row r="76" ht="22.5" customHeight="1">
      <c r="A76" s="62" t="s">
        <v>95</v>
      </c>
      <c r="B76" s="62" t="s">
        <v>1157</v>
      </c>
      <c r="C76" s="62" t="s">
        <v>1158</v>
      </c>
      <c r="D76" s="62">
        <v>2027.0</v>
      </c>
      <c r="E76" s="63">
        <v>27.3393036699</v>
      </c>
      <c r="F76" s="62">
        <v>3000.0</v>
      </c>
      <c r="G76" s="71"/>
      <c r="H76" s="71">
        <v>0.0</v>
      </c>
      <c r="I76" s="71"/>
      <c r="J76" s="71">
        <v>0.0</v>
      </c>
      <c r="K76" s="64"/>
      <c r="L76" s="64" t="s">
        <v>1092</v>
      </c>
      <c r="M76" s="62"/>
      <c r="N76" s="62">
        <v>12000.0</v>
      </c>
      <c r="O76" s="62"/>
      <c r="P76" s="62">
        <v>10000.0</v>
      </c>
      <c r="Q76" s="62"/>
      <c r="R76" s="62">
        <v>0.0</v>
      </c>
      <c r="S76" s="62"/>
      <c r="T76" s="62">
        <v>0.0</v>
      </c>
      <c r="U76" s="62"/>
      <c r="V76" s="62">
        <v>15000.0</v>
      </c>
      <c r="W76" s="62"/>
      <c r="X76" s="62">
        <v>15000.0</v>
      </c>
      <c r="Y76" s="62"/>
      <c r="Z76" s="62">
        <v>4000.0</v>
      </c>
      <c r="AA76" s="62"/>
      <c r="AB76" s="62">
        <v>0.0</v>
      </c>
      <c r="AC76" s="62"/>
      <c r="AD76" s="62">
        <v>0.0</v>
      </c>
      <c r="AE76" s="62"/>
      <c r="AF76" s="62">
        <v>3000.0</v>
      </c>
      <c r="AG76" s="62"/>
      <c r="AH76" s="62">
        <v>12000.0</v>
      </c>
      <c r="AI76" s="62"/>
      <c r="AJ76" s="62">
        <v>10000.0</v>
      </c>
      <c r="AK76" s="62"/>
      <c r="AL76" s="62">
        <v>7000.0</v>
      </c>
      <c r="AM76" s="62"/>
      <c r="AN76" s="62">
        <v>9000.0</v>
      </c>
      <c r="AO76" s="62"/>
      <c r="AP76" s="62">
        <v>0.0</v>
      </c>
      <c r="AQ76" s="62"/>
      <c r="AR76" s="62">
        <v>0.0</v>
      </c>
      <c r="AS76" s="62"/>
      <c r="AT76" s="62">
        <v>10000.0</v>
      </c>
      <c r="AU76" s="62"/>
      <c r="AV76" s="62">
        <v>10000.0</v>
      </c>
      <c r="AW76" s="62"/>
      <c r="AX76" s="62">
        <v>0.0</v>
      </c>
      <c r="AY76" s="62">
        <v>0.0</v>
      </c>
      <c r="AZ76" s="62">
        <v>0.0</v>
      </c>
    </row>
    <row r="77" ht="22.5" customHeight="1">
      <c r="A77" s="62" t="s">
        <v>95</v>
      </c>
      <c r="B77" s="62" t="s">
        <v>1119</v>
      </c>
      <c r="C77" s="62" t="s">
        <v>1120</v>
      </c>
      <c r="D77" s="62">
        <v>2023.0</v>
      </c>
      <c r="E77" s="63">
        <v>33.5305766338</v>
      </c>
      <c r="F77" s="62">
        <v>0.0</v>
      </c>
      <c r="G77" s="71"/>
      <c r="H77" s="71">
        <v>0.0</v>
      </c>
      <c r="I77" s="71"/>
      <c r="J77" s="71">
        <v>0.0</v>
      </c>
      <c r="K77" s="64"/>
      <c r="L77" s="64" t="s">
        <v>1092</v>
      </c>
      <c r="M77" s="62"/>
      <c r="N77" s="62">
        <v>24000.0</v>
      </c>
      <c r="O77" s="62"/>
      <c r="P77" s="62">
        <v>5000.0</v>
      </c>
      <c r="Q77" s="62"/>
      <c r="R77" s="62">
        <v>20000.0</v>
      </c>
      <c r="S77" s="62"/>
      <c r="T77" s="62">
        <v>20000.0</v>
      </c>
      <c r="U77" s="62"/>
      <c r="V77" s="62">
        <v>15000.0</v>
      </c>
      <c r="W77" s="62"/>
      <c r="X77" s="62">
        <v>6000.0</v>
      </c>
      <c r="Y77" s="62"/>
      <c r="Z77" s="62">
        <v>9000.0</v>
      </c>
      <c r="AA77" s="62"/>
      <c r="AB77" s="62">
        <v>14000.0</v>
      </c>
      <c r="AC77" s="62"/>
      <c r="AD77" s="62">
        <v>7000.0</v>
      </c>
      <c r="AE77" s="62"/>
      <c r="AF77" s="62">
        <v>7000.0</v>
      </c>
      <c r="AG77" s="62"/>
      <c r="AH77" s="62">
        <v>0.0</v>
      </c>
      <c r="AI77" s="62"/>
      <c r="AJ77" s="62">
        <v>0.0</v>
      </c>
      <c r="AK77" s="62"/>
      <c r="AL77" s="62">
        <v>25000.0</v>
      </c>
      <c r="AM77" s="62"/>
      <c r="AN77" s="62">
        <v>15000.0</v>
      </c>
      <c r="AO77" s="62"/>
      <c r="AP77" s="62">
        <v>12000.0</v>
      </c>
      <c r="AQ77" s="62"/>
      <c r="AR77" s="62">
        <v>0.0</v>
      </c>
      <c r="AS77" s="62"/>
      <c r="AT77" s="62">
        <v>0.0</v>
      </c>
      <c r="AU77" s="62"/>
      <c r="AV77" s="62">
        <v>22000.0</v>
      </c>
      <c r="AW77" s="62"/>
      <c r="AX77" s="62">
        <v>20000.0</v>
      </c>
      <c r="AY77" s="62">
        <v>15000.0</v>
      </c>
      <c r="AZ77" s="62">
        <v>0.0</v>
      </c>
    </row>
    <row r="78" ht="22.5" customHeight="1">
      <c r="A78" s="62" t="s">
        <v>95</v>
      </c>
      <c r="B78" s="62" t="s">
        <v>1129</v>
      </c>
      <c r="C78" s="62" t="s">
        <v>1130</v>
      </c>
      <c r="D78" s="62">
        <v>2025.0</v>
      </c>
      <c r="E78" s="63">
        <v>21.6827396902</v>
      </c>
      <c r="F78" s="62">
        <v>2000.0</v>
      </c>
      <c r="G78" s="71"/>
      <c r="H78" s="71">
        <v>0.0</v>
      </c>
      <c r="I78" s="71"/>
      <c r="J78" s="71">
        <v>0.0</v>
      </c>
      <c r="K78" s="64"/>
      <c r="L78" s="64" t="s">
        <v>1092</v>
      </c>
      <c r="M78" s="62"/>
      <c r="N78" s="62">
        <v>0.0</v>
      </c>
      <c r="O78" s="62"/>
      <c r="P78" s="62">
        <v>3000.0</v>
      </c>
      <c r="Q78" s="62"/>
      <c r="R78" s="62">
        <v>11000.0</v>
      </c>
      <c r="S78" s="62"/>
      <c r="T78" s="62">
        <v>11000.0</v>
      </c>
      <c r="U78" s="62"/>
      <c r="V78" s="62">
        <v>6000.0</v>
      </c>
      <c r="W78" s="62"/>
      <c r="X78" s="62">
        <v>0.0</v>
      </c>
      <c r="Y78" s="62"/>
      <c r="Z78" s="62">
        <v>0.0</v>
      </c>
      <c r="AA78" s="62"/>
      <c r="AB78" s="62">
        <v>0.0</v>
      </c>
      <c r="AC78" s="62"/>
      <c r="AD78" s="62">
        <v>0.0</v>
      </c>
      <c r="AE78" s="62"/>
      <c r="AF78" s="62">
        <v>6000.0</v>
      </c>
      <c r="AG78" s="62"/>
      <c r="AH78" s="62">
        <v>8000.0</v>
      </c>
      <c r="AI78" s="62"/>
      <c r="AJ78" s="62">
        <v>6000.0</v>
      </c>
      <c r="AK78" s="62"/>
      <c r="AL78" s="62">
        <v>0.0</v>
      </c>
      <c r="AM78" s="62"/>
      <c r="AN78" s="62">
        <v>3000.0</v>
      </c>
      <c r="AO78" s="62"/>
      <c r="AP78" s="62">
        <v>7000.0</v>
      </c>
      <c r="AQ78" s="62"/>
      <c r="AR78" s="62">
        <v>7000.0</v>
      </c>
      <c r="AS78" s="62"/>
      <c r="AT78" s="62">
        <v>0.0</v>
      </c>
      <c r="AU78" s="62"/>
      <c r="AV78" s="62">
        <v>0.0</v>
      </c>
      <c r="AW78" s="62"/>
      <c r="AX78" s="62">
        <v>0.0</v>
      </c>
      <c r="AY78" s="62">
        <v>0.0</v>
      </c>
      <c r="AZ78" s="62">
        <v>0.0</v>
      </c>
    </row>
    <row r="79" ht="22.5" customHeight="1">
      <c r="A79" s="62" t="s">
        <v>95</v>
      </c>
      <c r="B79" s="62" t="s">
        <v>1168</v>
      </c>
      <c r="C79" s="62" t="s">
        <v>1169</v>
      </c>
      <c r="D79" s="62" t="s">
        <v>1163</v>
      </c>
      <c r="E79" s="63">
        <v>8.73790091166</v>
      </c>
      <c r="F79" s="62">
        <v>6000.0</v>
      </c>
      <c r="G79" s="71"/>
      <c r="H79" s="71">
        <v>5000.0</v>
      </c>
      <c r="I79" s="71"/>
      <c r="J79" s="71">
        <v>4500.0</v>
      </c>
      <c r="K79" s="64"/>
      <c r="L79" s="64" t="s">
        <v>1092</v>
      </c>
      <c r="M79" s="62"/>
      <c r="N79" s="62">
        <v>0.0</v>
      </c>
      <c r="O79" s="62"/>
      <c r="P79" s="62">
        <v>0.0</v>
      </c>
      <c r="Q79" s="62"/>
      <c r="R79" s="62">
        <v>0.0</v>
      </c>
      <c r="S79" s="62"/>
      <c r="T79" s="62">
        <v>0.0</v>
      </c>
      <c r="U79" s="62"/>
      <c r="V79" s="62">
        <v>0.0</v>
      </c>
      <c r="W79" s="62"/>
      <c r="X79" s="62">
        <v>0.0</v>
      </c>
      <c r="Y79" s="62"/>
      <c r="Z79" s="62">
        <v>0.0</v>
      </c>
      <c r="AA79" s="62"/>
      <c r="AB79" s="62">
        <v>0.0</v>
      </c>
      <c r="AC79" s="62"/>
      <c r="AD79" s="62">
        <v>0.0</v>
      </c>
      <c r="AE79" s="62"/>
      <c r="AF79" s="62">
        <v>0.0</v>
      </c>
      <c r="AG79" s="62"/>
      <c r="AH79" s="62">
        <v>0.0</v>
      </c>
      <c r="AI79" s="62"/>
      <c r="AJ79" s="62">
        <v>1000.0</v>
      </c>
      <c r="AK79" s="62"/>
      <c r="AL79" s="62">
        <v>0.0</v>
      </c>
      <c r="AM79" s="62"/>
      <c r="AN79" s="62">
        <v>0.0</v>
      </c>
      <c r="AO79" s="62"/>
      <c r="AP79" s="62">
        <v>0.0</v>
      </c>
      <c r="AQ79" s="62"/>
      <c r="AR79" s="62">
        <v>0.0</v>
      </c>
      <c r="AS79" s="62"/>
      <c r="AT79" s="62">
        <v>0.0</v>
      </c>
      <c r="AU79" s="62"/>
      <c r="AV79" s="62">
        <v>0.0</v>
      </c>
      <c r="AW79" s="62"/>
      <c r="AX79" s="62">
        <v>0.0</v>
      </c>
      <c r="AY79" s="62">
        <v>0.0</v>
      </c>
      <c r="AZ79" s="62">
        <v>0.0</v>
      </c>
    </row>
    <row r="80" ht="22.5" customHeight="1">
      <c r="A80" s="62" t="s">
        <v>95</v>
      </c>
      <c r="B80" s="62" t="s">
        <v>1101</v>
      </c>
      <c r="C80" s="62" t="s">
        <v>1102</v>
      </c>
      <c r="D80" s="62">
        <v>2022.0</v>
      </c>
      <c r="E80" s="63">
        <v>7.2930020469</v>
      </c>
      <c r="F80" s="62">
        <v>1000.0</v>
      </c>
      <c r="G80" s="71"/>
      <c r="H80" s="71">
        <v>1000.0</v>
      </c>
      <c r="I80" s="71"/>
      <c r="J80" s="71">
        <v>3000.0</v>
      </c>
      <c r="K80" s="64"/>
      <c r="L80" s="64" t="s">
        <v>1092</v>
      </c>
      <c r="M80" s="62"/>
      <c r="N80" s="62">
        <v>0.0</v>
      </c>
      <c r="O80" s="62"/>
      <c r="P80" s="62">
        <v>0.0</v>
      </c>
      <c r="Q80" s="62"/>
      <c r="R80" s="62">
        <v>0.0</v>
      </c>
      <c r="S80" s="62"/>
      <c r="T80" s="62">
        <v>0.0</v>
      </c>
      <c r="U80" s="62"/>
      <c r="V80" s="62">
        <v>0.0</v>
      </c>
      <c r="W80" s="62"/>
      <c r="X80" s="62">
        <v>0.0</v>
      </c>
      <c r="Y80" s="62"/>
      <c r="Z80" s="62">
        <v>0.0</v>
      </c>
      <c r="AA80" s="62"/>
      <c r="AB80" s="62">
        <v>1000.0</v>
      </c>
      <c r="AC80" s="62"/>
      <c r="AD80" s="62">
        <v>2500.0</v>
      </c>
      <c r="AE80" s="62"/>
      <c r="AF80" s="62">
        <v>3500.0</v>
      </c>
      <c r="AG80" s="62"/>
      <c r="AH80" s="62">
        <v>1000.0</v>
      </c>
      <c r="AI80" s="62"/>
      <c r="AJ80" s="62">
        <v>2000.0</v>
      </c>
      <c r="AK80" s="62"/>
      <c r="AL80" s="62">
        <v>0.0</v>
      </c>
      <c r="AM80" s="62"/>
      <c r="AN80" s="62">
        <v>0.0</v>
      </c>
      <c r="AO80" s="62"/>
      <c r="AP80" s="62">
        <v>2000.0</v>
      </c>
      <c r="AQ80" s="62"/>
      <c r="AR80" s="62">
        <v>0.0</v>
      </c>
      <c r="AS80" s="62"/>
      <c r="AT80" s="62">
        <v>2000.0</v>
      </c>
      <c r="AU80" s="62"/>
      <c r="AV80" s="62">
        <v>2000.0</v>
      </c>
      <c r="AW80" s="62"/>
      <c r="AX80" s="62">
        <v>1000.0</v>
      </c>
      <c r="AY80" s="62">
        <v>0.0</v>
      </c>
      <c r="AZ80" s="62">
        <v>0.0</v>
      </c>
    </row>
    <row r="81" ht="22.5" customHeight="1">
      <c r="A81" s="62" t="s">
        <v>95</v>
      </c>
      <c r="B81" s="62" t="s">
        <v>1105</v>
      </c>
      <c r="C81" s="62" t="s">
        <v>1106</v>
      </c>
      <c r="D81" s="62">
        <v>2022.0</v>
      </c>
      <c r="E81" s="63">
        <v>21.6269020049</v>
      </c>
      <c r="F81" s="62">
        <v>2500.0</v>
      </c>
      <c r="G81" s="71"/>
      <c r="H81" s="71">
        <v>0.0</v>
      </c>
      <c r="I81" s="71"/>
      <c r="J81" s="71">
        <v>15000.0</v>
      </c>
      <c r="K81" s="64"/>
      <c r="L81" s="64" t="s">
        <v>1092</v>
      </c>
      <c r="M81" s="62"/>
      <c r="N81" s="62">
        <v>8000.0</v>
      </c>
      <c r="O81" s="62"/>
      <c r="P81" s="62">
        <v>0.0</v>
      </c>
      <c r="Q81" s="62"/>
      <c r="R81" s="62">
        <v>0.0</v>
      </c>
      <c r="S81" s="62"/>
      <c r="T81" s="62">
        <v>0.0</v>
      </c>
      <c r="U81" s="62"/>
      <c r="V81" s="62">
        <v>0.0</v>
      </c>
      <c r="W81" s="62"/>
      <c r="X81" s="62">
        <v>0.0</v>
      </c>
      <c r="Y81" s="62"/>
      <c r="Z81" s="62">
        <v>12000.0</v>
      </c>
      <c r="AA81" s="62"/>
      <c r="AB81" s="62">
        <v>8000.0</v>
      </c>
      <c r="AC81" s="62"/>
      <c r="AD81" s="62">
        <v>4000.0</v>
      </c>
      <c r="AE81" s="62"/>
      <c r="AF81" s="62">
        <v>0.0</v>
      </c>
      <c r="AG81" s="62"/>
      <c r="AH81" s="62">
        <v>0.0</v>
      </c>
      <c r="AI81" s="62"/>
      <c r="AJ81" s="62">
        <v>6000.0</v>
      </c>
      <c r="AK81" s="62"/>
      <c r="AL81" s="62">
        <v>15000.0</v>
      </c>
      <c r="AM81" s="62"/>
      <c r="AN81" s="62">
        <v>15000.0</v>
      </c>
      <c r="AO81" s="62"/>
      <c r="AP81" s="62">
        <v>0.0</v>
      </c>
      <c r="AQ81" s="62"/>
      <c r="AR81" s="62">
        <v>0.0</v>
      </c>
      <c r="AS81" s="62"/>
      <c r="AT81" s="62">
        <v>8000.0</v>
      </c>
      <c r="AU81" s="62"/>
      <c r="AV81" s="62">
        <v>12000.0</v>
      </c>
      <c r="AW81" s="62"/>
      <c r="AX81" s="62">
        <v>8000.0</v>
      </c>
      <c r="AY81" s="62">
        <v>0.0</v>
      </c>
      <c r="AZ81" s="62">
        <v>0.0</v>
      </c>
    </row>
    <row r="82" ht="22.5" customHeight="1">
      <c r="A82" s="62" t="s">
        <v>95</v>
      </c>
      <c r="B82" s="62" t="s">
        <v>1093</v>
      </c>
      <c r="C82" s="62" t="s">
        <v>1094</v>
      </c>
      <c r="D82" s="62">
        <v>2021.0</v>
      </c>
      <c r="E82" s="63">
        <v>31.0370262599</v>
      </c>
      <c r="F82" s="62">
        <v>0.0</v>
      </c>
      <c r="G82" s="71"/>
      <c r="H82" s="71">
        <v>0.0</v>
      </c>
      <c r="I82" s="71"/>
      <c r="J82" s="71">
        <v>8000.0</v>
      </c>
      <c r="K82" s="64"/>
      <c r="L82" s="64" t="s">
        <v>1092</v>
      </c>
      <c r="M82" s="62"/>
      <c r="N82" s="62">
        <v>12000.0</v>
      </c>
      <c r="O82" s="62"/>
      <c r="P82" s="62">
        <v>4000.0</v>
      </c>
      <c r="Q82" s="62"/>
      <c r="R82" s="62">
        <v>0.0</v>
      </c>
      <c r="S82" s="62"/>
      <c r="T82" s="62">
        <v>0.0</v>
      </c>
      <c r="U82" s="62"/>
      <c r="V82" s="62">
        <v>0.0</v>
      </c>
      <c r="W82" s="62"/>
      <c r="X82" s="62">
        <v>7000.0</v>
      </c>
      <c r="Y82" s="62"/>
      <c r="Z82" s="62">
        <v>18000.0</v>
      </c>
      <c r="AA82" s="62"/>
      <c r="AB82" s="62">
        <v>10000.0</v>
      </c>
      <c r="AC82" s="62"/>
      <c r="AD82" s="62">
        <v>8000.0</v>
      </c>
      <c r="AE82" s="62"/>
      <c r="AF82" s="62">
        <v>3000.0</v>
      </c>
      <c r="AG82" s="62"/>
      <c r="AH82" s="62">
        <v>3000.0</v>
      </c>
      <c r="AI82" s="62"/>
      <c r="AJ82" s="62">
        <v>6000.0</v>
      </c>
      <c r="AK82" s="62"/>
      <c r="AL82" s="62">
        <v>6000.0</v>
      </c>
      <c r="AM82" s="62"/>
      <c r="AN82" s="62">
        <v>0.0</v>
      </c>
      <c r="AO82" s="62"/>
      <c r="AP82" s="62">
        <v>0.0</v>
      </c>
      <c r="AQ82" s="62"/>
      <c r="AR82" s="62">
        <v>10000.0</v>
      </c>
      <c r="AS82" s="62"/>
      <c r="AT82" s="62">
        <v>18000.0</v>
      </c>
      <c r="AU82" s="62"/>
      <c r="AV82" s="62">
        <v>18000.0</v>
      </c>
      <c r="AW82" s="62"/>
      <c r="AX82" s="62">
        <v>10000.0</v>
      </c>
      <c r="AY82" s="62">
        <v>0.0</v>
      </c>
      <c r="AZ82" s="62">
        <v>0.0</v>
      </c>
    </row>
    <row r="83" ht="22.5" customHeight="1">
      <c r="A83" s="62" t="s">
        <v>95</v>
      </c>
      <c r="B83" s="62" t="s">
        <v>1123</v>
      </c>
      <c r="C83" s="62" t="s">
        <v>1124</v>
      </c>
      <c r="D83" s="62">
        <v>2024.0</v>
      </c>
      <c r="E83" s="63">
        <v>21.0156820939</v>
      </c>
      <c r="F83" s="62">
        <v>5000.0</v>
      </c>
      <c r="G83" s="71"/>
      <c r="H83" s="71">
        <v>5000.0</v>
      </c>
      <c r="I83" s="71"/>
      <c r="J83" s="71">
        <v>5000.0</v>
      </c>
      <c r="K83" s="64"/>
      <c r="L83" s="64" t="s">
        <v>1092</v>
      </c>
      <c r="M83" s="62"/>
      <c r="N83" s="62">
        <v>15000.0</v>
      </c>
      <c r="O83" s="62"/>
      <c r="P83" s="62">
        <v>15000.0</v>
      </c>
      <c r="Q83" s="62"/>
      <c r="R83" s="62">
        <v>10000.0</v>
      </c>
      <c r="S83" s="62"/>
      <c r="T83" s="62">
        <v>8000.0</v>
      </c>
      <c r="U83" s="62"/>
      <c r="V83" s="62">
        <v>0.0</v>
      </c>
      <c r="W83" s="62"/>
      <c r="X83" s="62">
        <v>0.0</v>
      </c>
      <c r="Y83" s="62"/>
      <c r="Z83" s="62">
        <v>8000.0</v>
      </c>
      <c r="AA83" s="62"/>
      <c r="AB83" s="62">
        <v>16000.0</v>
      </c>
      <c r="AC83" s="62"/>
      <c r="AD83" s="62">
        <v>6000.0</v>
      </c>
      <c r="AE83" s="62"/>
      <c r="AF83" s="62">
        <v>5000.0</v>
      </c>
      <c r="AG83" s="62"/>
      <c r="AH83" s="62">
        <v>0.0</v>
      </c>
      <c r="AI83" s="62"/>
      <c r="AJ83" s="62">
        <v>0.0</v>
      </c>
      <c r="AK83" s="62"/>
      <c r="AL83" s="62">
        <v>3000.0</v>
      </c>
      <c r="AM83" s="62"/>
      <c r="AN83" s="62">
        <v>15000.0</v>
      </c>
      <c r="AO83" s="62"/>
      <c r="AP83" s="62">
        <v>11000.0</v>
      </c>
      <c r="AQ83" s="62"/>
      <c r="AR83" s="62">
        <v>5000.0</v>
      </c>
      <c r="AS83" s="62"/>
      <c r="AT83" s="62">
        <v>0.0</v>
      </c>
      <c r="AU83" s="62"/>
      <c r="AV83" s="62">
        <v>3000.0</v>
      </c>
      <c r="AW83" s="62"/>
      <c r="AX83" s="62">
        <v>12000.0</v>
      </c>
      <c r="AY83" s="62">
        <v>12000.0</v>
      </c>
      <c r="AZ83" s="62">
        <v>0.0</v>
      </c>
    </row>
    <row r="84" ht="22.5" customHeight="1">
      <c r="A84" s="62" t="s">
        <v>234</v>
      </c>
      <c r="B84" s="62" t="s">
        <v>1155</v>
      </c>
      <c r="C84" s="62" t="s">
        <v>1156</v>
      </c>
      <c r="D84" s="62">
        <v>2026.0</v>
      </c>
      <c r="E84" s="63">
        <v>18.753786413</v>
      </c>
      <c r="F84" s="62">
        <v>0.0</v>
      </c>
      <c r="G84" s="71"/>
      <c r="H84" s="71">
        <v>0.0</v>
      </c>
      <c r="I84" s="71"/>
      <c r="J84" s="71">
        <v>0.0</v>
      </c>
      <c r="K84" s="64"/>
      <c r="L84" s="64" t="s">
        <v>1092</v>
      </c>
      <c r="M84" s="62"/>
      <c r="N84" s="62">
        <v>3000.0</v>
      </c>
      <c r="O84" s="62"/>
      <c r="P84" s="62">
        <v>2000.0</v>
      </c>
      <c r="Q84" s="62"/>
      <c r="R84" s="62">
        <v>0.0</v>
      </c>
      <c r="S84" s="62"/>
      <c r="T84" s="62">
        <v>0.0</v>
      </c>
      <c r="U84" s="62"/>
      <c r="V84" s="62">
        <v>0.0</v>
      </c>
      <c r="W84" s="62"/>
      <c r="X84" s="62">
        <v>4000.0</v>
      </c>
      <c r="Y84" s="62"/>
      <c r="Z84" s="62">
        <v>10000.0</v>
      </c>
      <c r="AA84" s="62"/>
      <c r="AB84" s="62">
        <v>10000.0</v>
      </c>
      <c r="AC84" s="62"/>
      <c r="AD84" s="62">
        <v>3000.0</v>
      </c>
      <c r="AE84" s="62"/>
      <c r="AF84" s="62">
        <v>0.0</v>
      </c>
      <c r="AG84" s="62"/>
      <c r="AH84" s="62">
        <v>0.0</v>
      </c>
      <c r="AI84" s="62"/>
      <c r="AJ84" s="62">
        <v>3000.0</v>
      </c>
      <c r="AK84" s="62"/>
      <c r="AL84" s="62">
        <v>5000.0</v>
      </c>
      <c r="AM84" s="62"/>
      <c r="AN84" s="62">
        <v>6000.0</v>
      </c>
      <c r="AO84" s="62"/>
      <c r="AP84" s="62">
        <v>8000.0</v>
      </c>
      <c r="AQ84" s="62"/>
      <c r="AR84" s="62">
        <v>4000.0</v>
      </c>
      <c r="AS84" s="62"/>
      <c r="AT84" s="62">
        <v>0.0</v>
      </c>
      <c r="AU84" s="62"/>
      <c r="AV84" s="62">
        <v>0.0</v>
      </c>
      <c r="AW84" s="62"/>
      <c r="AX84" s="62">
        <v>0.0</v>
      </c>
      <c r="AY84" s="62">
        <v>0.0</v>
      </c>
      <c r="AZ84" s="62">
        <v>0.0</v>
      </c>
    </row>
    <row r="85" ht="22.5" customHeight="1">
      <c r="A85" s="62" t="s">
        <v>234</v>
      </c>
      <c r="B85" s="62" t="s">
        <v>1170</v>
      </c>
      <c r="C85" s="62" t="s">
        <v>1171</v>
      </c>
      <c r="D85" s="62" t="s">
        <v>1163</v>
      </c>
      <c r="E85" s="63">
        <v>10.9539335449</v>
      </c>
      <c r="F85" s="62">
        <v>5000.0</v>
      </c>
      <c r="G85" s="71"/>
      <c r="H85" s="71">
        <v>0.0</v>
      </c>
      <c r="I85" s="71"/>
      <c r="J85" s="71">
        <v>0.0</v>
      </c>
      <c r="K85" s="64"/>
      <c r="L85" s="64" t="s">
        <v>1092</v>
      </c>
      <c r="M85" s="62"/>
      <c r="N85" s="62">
        <v>1500.0</v>
      </c>
      <c r="O85" s="62"/>
      <c r="P85" s="62">
        <v>1000.0</v>
      </c>
      <c r="Q85" s="62"/>
      <c r="R85" s="62">
        <v>0.0</v>
      </c>
      <c r="S85" s="62"/>
      <c r="T85" s="62">
        <v>0.0</v>
      </c>
      <c r="U85" s="62"/>
      <c r="V85" s="62">
        <v>0.0</v>
      </c>
      <c r="W85" s="62"/>
      <c r="X85" s="62">
        <v>2500.0</v>
      </c>
      <c r="Y85" s="62"/>
      <c r="Z85" s="62">
        <v>2500.0</v>
      </c>
      <c r="AA85" s="62"/>
      <c r="AB85" s="62">
        <v>0.0</v>
      </c>
      <c r="AC85" s="62"/>
      <c r="AD85" s="62">
        <v>0.0</v>
      </c>
      <c r="AE85" s="62"/>
      <c r="AF85" s="62">
        <v>0.0</v>
      </c>
      <c r="AG85" s="62"/>
      <c r="AH85" s="62">
        <v>0.0</v>
      </c>
      <c r="AI85" s="62"/>
      <c r="AJ85" s="62">
        <v>0.0</v>
      </c>
      <c r="AK85" s="62"/>
      <c r="AL85" s="62">
        <v>1000.0</v>
      </c>
      <c r="AM85" s="62"/>
      <c r="AN85" s="62">
        <v>0.0</v>
      </c>
      <c r="AO85" s="62"/>
      <c r="AP85" s="62">
        <v>0.0</v>
      </c>
      <c r="AQ85" s="62"/>
      <c r="AR85" s="62">
        <v>0.0</v>
      </c>
      <c r="AS85" s="62"/>
      <c r="AT85" s="62">
        <v>0.0</v>
      </c>
      <c r="AU85" s="62"/>
      <c r="AV85" s="62">
        <v>0.0</v>
      </c>
      <c r="AW85" s="62"/>
      <c r="AX85" s="62">
        <v>0.0</v>
      </c>
      <c r="AY85" s="62">
        <v>0.0</v>
      </c>
      <c r="AZ85" s="62">
        <v>0.0</v>
      </c>
    </row>
    <row r="86" ht="22.5" customHeight="1">
      <c r="A86" s="62" t="s">
        <v>234</v>
      </c>
      <c r="B86" s="62" t="s">
        <v>1174</v>
      </c>
      <c r="C86" s="62" t="s">
        <v>1175</v>
      </c>
      <c r="D86" s="62" t="s">
        <v>1163</v>
      </c>
      <c r="E86" s="63">
        <v>4.64954341293</v>
      </c>
      <c r="F86" s="62">
        <v>5000.0</v>
      </c>
      <c r="G86" s="71"/>
      <c r="H86" s="71">
        <v>1000.0</v>
      </c>
      <c r="I86" s="71"/>
      <c r="J86" s="71">
        <v>0.0</v>
      </c>
      <c r="K86" s="64"/>
      <c r="L86" s="64" t="s">
        <v>1092</v>
      </c>
      <c r="M86" s="62"/>
      <c r="N86" s="62">
        <v>0.0</v>
      </c>
      <c r="O86" s="62"/>
      <c r="P86" s="62">
        <v>0.0</v>
      </c>
      <c r="Q86" s="62"/>
      <c r="R86" s="62">
        <v>0.0</v>
      </c>
      <c r="S86" s="62"/>
      <c r="T86" s="62">
        <v>0.0</v>
      </c>
      <c r="U86" s="62"/>
      <c r="V86" s="62">
        <v>0.0</v>
      </c>
      <c r="W86" s="62"/>
      <c r="X86" s="62">
        <v>2000.0</v>
      </c>
      <c r="Y86" s="62"/>
      <c r="Z86" s="62">
        <v>2000.0</v>
      </c>
      <c r="AA86" s="62"/>
      <c r="AB86" s="62">
        <v>0.0</v>
      </c>
      <c r="AC86" s="62"/>
      <c r="AD86" s="62">
        <v>0.0</v>
      </c>
      <c r="AE86" s="62"/>
      <c r="AF86" s="62">
        <v>0.0</v>
      </c>
      <c r="AG86" s="62"/>
      <c r="AH86" s="62">
        <v>0.0</v>
      </c>
      <c r="AI86" s="62"/>
      <c r="AJ86" s="62">
        <v>0.0</v>
      </c>
      <c r="AK86" s="62"/>
      <c r="AL86" s="62">
        <v>0.0</v>
      </c>
      <c r="AM86" s="62"/>
      <c r="AN86" s="62">
        <v>0.0</v>
      </c>
      <c r="AO86" s="62"/>
      <c r="AP86" s="62">
        <v>0.0</v>
      </c>
      <c r="AQ86" s="62"/>
      <c r="AR86" s="62">
        <v>0.0</v>
      </c>
      <c r="AS86" s="62"/>
      <c r="AT86" s="62">
        <v>0.0</v>
      </c>
      <c r="AU86" s="62"/>
      <c r="AV86" s="62">
        <v>0.0</v>
      </c>
      <c r="AW86" s="62"/>
      <c r="AX86" s="62">
        <v>0.0</v>
      </c>
      <c r="AY86" s="62">
        <v>0.0</v>
      </c>
      <c r="AZ86" s="62">
        <v>0.0</v>
      </c>
    </row>
    <row r="87" ht="22.5" customHeight="1">
      <c r="A87" s="62" t="s">
        <v>116</v>
      </c>
      <c r="B87" s="62" t="s">
        <v>1190</v>
      </c>
      <c r="C87" s="62" t="s">
        <v>1191</v>
      </c>
      <c r="D87" s="62" t="s">
        <v>1163</v>
      </c>
      <c r="E87" s="63">
        <v>2.23781443696</v>
      </c>
      <c r="F87" s="62">
        <v>0.0</v>
      </c>
      <c r="G87" s="71"/>
      <c r="H87" s="71">
        <v>0.0</v>
      </c>
      <c r="I87" s="71"/>
      <c r="J87" s="71">
        <v>0.0</v>
      </c>
      <c r="K87" s="64"/>
      <c r="L87" s="64" t="s">
        <v>1092</v>
      </c>
      <c r="M87" s="62"/>
      <c r="N87" s="62">
        <v>0.0</v>
      </c>
      <c r="O87" s="62"/>
      <c r="P87" s="62">
        <v>0.0</v>
      </c>
      <c r="Q87" s="62"/>
      <c r="R87" s="62">
        <v>0.0</v>
      </c>
      <c r="S87" s="62"/>
      <c r="T87" s="62">
        <v>0.0</v>
      </c>
      <c r="U87" s="62"/>
      <c r="V87" s="62">
        <v>0.0</v>
      </c>
      <c r="W87" s="62"/>
      <c r="X87" s="62">
        <v>0.0</v>
      </c>
      <c r="Y87" s="62"/>
      <c r="Z87" s="62">
        <v>0.0</v>
      </c>
      <c r="AA87" s="62"/>
      <c r="AB87" s="62">
        <v>0.0</v>
      </c>
      <c r="AC87" s="62"/>
      <c r="AD87" s="62">
        <v>0.0</v>
      </c>
      <c r="AE87" s="62"/>
      <c r="AF87" s="62">
        <v>0.0</v>
      </c>
      <c r="AG87" s="62"/>
      <c r="AH87" s="62">
        <v>0.0</v>
      </c>
      <c r="AI87" s="62"/>
      <c r="AJ87" s="62">
        <v>0.0</v>
      </c>
      <c r="AK87" s="62"/>
      <c r="AL87" s="62">
        <v>0.0</v>
      </c>
      <c r="AM87" s="62"/>
      <c r="AN87" s="62">
        <v>0.0</v>
      </c>
      <c r="AO87" s="62"/>
      <c r="AP87" s="62">
        <v>0.0</v>
      </c>
      <c r="AQ87" s="62"/>
      <c r="AR87" s="62">
        <v>0.0</v>
      </c>
      <c r="AS87" s="62"/>
      <c r="AT87" s="62">
        <v>0.0</v>
      </c>
      <c r="AU87" s="62"/>
      <c r="AV87" s="62">
        <v>0.0</v>
      </c>
      <c r="AW87" s="62"/>
      <c r="AX87" s="62">
        <v>0.0</v>
      </c>
      <c r="AY87" s="62">
        <v>0.0</v>
      </c>
      <c r="AZ87" s="62">
        <v>0.0</v>
      </c>
    </row>
    <row r="88" ht="22.5" customHeight="1">
      <c r="A88" s="62" t="s">
        <v>116</v>
      </c>
      <c r="B88" s="62" t="s">
        <v>1135</v>
      </c>
      <c r="C88" s="62" t="s">
        <v>1136</v>
      </c>
      <c r="D88" s="62">
        <v>2025.0</v>
      </c>
      <c r="E88" s="63">
        <v>9.37382988567</v>
      </c>
      <c r="F88" s="62">
        <v>0.0</v>
      </c>
      <c r="G88" s="71"/>
      <c r="H88" s="71">
        <v>4000.0</v>
      </c>
      <c r="I88" s="71"/>
      <c r="J88" s="71">
        <v>9000.0</v>
      </c>
      <c r="K88" s="64"/>
      <c r="L88" s="64" t="s">
        <v>1092</v>
      </c>
      <c r="M88" s="62"/>
      <c r="N88" s="62">
        <v>6000.0</v>
      </c>
      <c r="O88" s="62"/>
      <c r="P88" s="62">
        <v>2000.0</v>
      </c>
      <c r="Q88" s="62"/>
      <c r="R88" s="62">
        <v>0.0</v>
      </c>
      <c r="S88" s="62"/>
      <c r="T88" s="62">
        <v>5000.0</v>
      </c>
      <c r="U88" s="62"/>
      <c r="V88" s="62">
        <v>6000.0</v>
      </c>
      <c r="W88" s="62"/>
      <c r="X88" s="62">
        <v>2000.0</v>
      </c>
      <c r="Y88" s="62"/>
      <c r="Z88" s="62">
        <v>0.0</v>
      </c>
      <c r="AA88" s="62"/>
      <c r="AB88" s="62">
        <v>1000.0</v>
      </c>
      <c r="AC88" s="62"/>
      <c r="AD88" s="62">
        <v>2500.0</v>
      </c>
      <c r="AE88" s="62"/>
      <c r="AF88" s="62">
        <v>6000.0</v>
      </c>
      <c r="AG88" s="62"/>
      <c r="AH88" s="62">
        <v>2000.0</v>
      </c>
      <c r="AI88" s="62"/>
      <c r="AJ88" s="62">
        <v>1000.0</v>
      </c>
      <c r="AK88" s="62"/>
      <c r="AL88" s="62">
        <v>5000.0</v>
      </c>
      <c r="AM88" s="62"/>
      <c r="AN88" s="62">
        <v>6000.0</v>
      </c>
      <c r="AO88" s="62"/>
      <c r="AP88" s="62">
        <v>3000.0</v>
      </c>
      <c r="AQ88" s="62"/>
      <c r="AR88" s="62">
        <v>1000.0</v>
      </c>
      <c r="AS88" s="62"/>
      <c r="AT88" s="62">
        <v>0.0</v>
      </c>
      <c r="AU88" s="62"/>
      <c r="AV88" s="62">
        <v>0.0</v>
      </c>
      <c r="AW88" s="62"/>
      <c r="AX88" s="62">
        <v>0.0</v>
      </c>
      <c r="AY88" s="62">
        <v>0.0</v>
      </c>
      <c r="AZ88" s="62">
        <v>0.0</v>
      </c>
    </row>
    <row r="89" ht="22.5" customHeight="1">
      <c r="A89" s="62" t="s">
        <v>116</v>
      </c>
      <c r="B89" s="62" t="s">
        <v>1121</v>
      </c>
      <c r="C89" s="62" t="s">
        <v>1122</v>
      </c>
      <c r="D89" s="62">
        <v>2023.0</v>
      </c>
      <c r="E89" s="63">
        <v>14.3065187754</v>
      </c>
      <c r="F89" s="62">
        <v>0.0</v>
      </c>
      <c r="G89" s="71"/>
      <c r="H89" s="71">
        <v>0.0</v>
      </c>
      <c r="I89" s="71"/>
      <c r="J89" s="71">
        <v>7000.0</v>
      </c>
      <c r="K89" s="64"/>
      <c r="L89" s="64" t="s">
        <v>1092</v>
      </c>
      <c r="M89" s="62"/>
      <c r="N89" s="62">
        <v>10000.0</v>
      </c>
      <c r="O89" s="62"/>
      <c r="P89" s="62">
        <v>2000.0</v>
      </c>
      <c r="Q89" s="62"/>
      <c r="R89" s="62">
        <v>0.0</v>
      </c>
      <c r="S89" s="62"/>
      <c r="T89" s="62">
        <v>8000.0</v>
      </c>
      <c r="U89" s="62"/>
      <c r="V89" s="62">
        <v>5000.0</v>
      </c>
      <c r="W89" s="62"/>
      <c r="X89" s="62">
        <v>2000.0</v>
      </c>
      <c r="Y89" s="62"/>
      <c r="Z89" s="62">
        <v>0.0</v>
      </c>
      <c r="AA89" s="62"/>
      <c r="AB89" s="62">
        <v>0.0</v>
      </c>
      <c r="AC89" s="62"/>
      <c r="AD89" s="62">
        <v>0.0</v>
      </c>
      <c r="AE89" s="62"/>
      <c r="AF89" s="62">
        <v>7000.0</v>
      </c>
      <c r="AG89" s="62"/>
      <c r="AH89" s="62">
        <v>5000.0</v>
      </c>
      <c r="AI89" s="62"/>
      <c r="AJ89" s="62">
        <v>4500.0</v>
      </c>
      <c r="AK89" s="62"/>
      <c r="AL89" s="62">
        <v>2000.0</v>
      </c>
      <c r="AM89" s="62"/>
      <c r="AN89" s="62">
        <v>5000.0</v>
      </c>
      <c r="AO89" s="62"/>
      <c r="AP89" s="62">
        <v>0.0</v>
      </c>
      <c r="AQ89" s="62"/>
      <c r="AR89" s="62">
        <v>0.0</v>
      </c>
      <c r="AS89" s="62"/>
      <c r="AT89" s="62">
        <v>0.0</v>
      </c>
      <c r="AU89" s="62"/>
      <c r="AV89" s="62">
        <v>4200.0</v>
      </c>
      <c r="AW89" s="62"/>
      <c r="AX89" s="62">
        <v>6000.0</v>
      </c>
      <c r="AY89" s="62">
        <v>3000.0</v>
      </c>
      <c r="AZ89" s="62">
        <v>0.0</v>
      </c>
    </row>
    <row r="90" ht="22.5" customHeight="1">
      <c r="A90" s="62" t="s">
        <v>234</v>
      </c>
      <c r="B90" s="62" t="s">
        <v>1153</v>
      </c>
      <c r="C90" s="62" t="s">
        <v>1154</v>
      </c>
      <c r="D90" s="62">
        <v>2026.0</v>
      </c>
      <c r="E90" s="63">
        <v>21.8680151198</v>
      </c>
      <c r="F90" s="62">
        <v>1000.0</v>
      </c>
      <c r="G90" s="71"/>
      <c r="H90" s="71">
        <v>0.0</v>
      </c>
      <c r="I90" s="71"/>
      <c r="J90" s="71">
        <v>25000.0</v>
      </c>
      <c r="K90" s="64"/>
      <c r="L90" s="64" t="s">
        <v>1092</v>
      </c>
      <c r="M90" s="62"/>
      <c r="N90" s="62">
        <v>9000.0</v>
      </c>
      <c r="O90" s="62"/>
      <c r="P90" s="62">
        <v>0.0</v>
      </c>
      <c r="Q90" s="62"/>
      <c r="R90" s="62">
        <v>0.0</v>
      </c>
      <c r="S90" s="62"/>
      <c r="T90" s="62">
        <v>10000.0</v>
      </c>
      <c r="U90" s="62"/>
      <c r="V90" s="62">
        <v>8000.0</v>
      </c>
      <c r="W90" s="62"/>
      <c r="X90" s="62">
        <v>2000.0</v>
      </c>
      <c r="Y90" s="62"/>
      <c r="Z90" s="62">
        <v>0.0</v>
      </c>
      <c r="AA90" s="62"/>
      <c r="AB90" s="62">
        <v>5000.0</v>
      </c>
      <c r="AC90" s="62"/>
      <c r="AD90" s="62">
        <v>5000.0</v>
      </c>
      <c r="AE90" s="62"/>
      <c r="AF90" s="62">
        <v>5000.0</v>
      </c>
      <c r="AG90" s="62"/>
      <c r="AH90" s="62">
        <v>2000.0</v>
      </c>
      <c r="AI90" s="62"/>
      <c r="AJ90" s="62">
        <v>3000.0</v>
      </c>
      <c r="AK90" s="62"/>
      <c r="AL90" s="62">
        <v>8000.0</v>
      </c>
      <c r="AM90" s="62"/>
      <c r="AN90" s="62">
        <v>12000.0</v>
      </c>
      <c r="AO90" s="62"/>
      <c r="AP90" s="62">
        <v>0.0</v>
      </c>
      <c r="AQ90" s="62"/>
      <c r="AR90" s="62">
        <v>0.0</v>
      </c>
      <c r="AS90" s="62"/>
      <c r="AT90" s="62">
        <v>0.0</v>
      </c>
      <c r="AU90" s="62"/>
      <c r="AV90" s="62">
        <v>0.0</v>
      </c>
      <c r="AW90" s="62"/>
      <c r="AX90" s="62">
        <v>0.0</v>
      </c>
      <c r="AY90" s="62">
        <v>0.0</v>
      </c>
      <c r="AZ90" s="62">
        <v>0.0</v>
      </c>
    </row>
    <row r="91" ht="22.5" customHeight="1">
      <c r="A91" s="62" t="s">
        <v>95</v>
      </c>
      <c r="B91" s="62" t="s">
        <v>1131</v>
      </c>
      <c r="C91" s="62" t="s">
        <v>1132</v>
      </c>
      <c r="D91" s="62">
        <v>2025.0</v>
      </c>
      <c r="E91" s="63">
        <v>27.6824254054</v>
      </c>
      <c r="F91" s="62">
        <v>0.0</v>
      </c>
      <c r="G91" s="71"/>
      <c r="H91" s="71">
        <v>6000.0</v>
      </c>
      <c r="I91" s="71"/>
      <c r="J91" s="71">
        <v>8000.0</v>
      </c>
      <c r="K91" s="64"/>
      <c r="L91" s="64" t="s">
        <v>1092</v>
      </c>
      <c r="M91" s="62"/>
      <c r="N91" s="62">
        <v>0.0</v>
      </c>
      <c r="O91" s="62"/>
      <c r="P91" s="62">
        <v>15000.0</v>
      </c>
      <c r="Q91" s="62"/>
      <c r="R91" s="62">
        <v>15000.0</v>
      </c>
      <c r="S91" s="62"/>
      <c r="T91" s="62">
        <v>15000.0</v>
      </c>
      <c r="U91" s="62"/>
      <c r="V91" s="62">
        <v>8000.0</v>
      </c>
      <c r="W91" s="62"/>
      <c r="X91" s="62">
        <v>0.0</v>
      </c>
      <c r="Y91" s="62"/>
      <c r="Z91" s="62">
        <v>0.0</v>
      </c>
      <c r="AA91" s="62"/>
      <c r="AB91" s="62">
        <v>3000.0</v>
      </c>
      <c r="AC91" s="62"/>
      <c r="AD91" s="62">
        <v>6000.0</v>
      </c>
      <c r="AE91" s="62"/>
      <c r="AF91" s="62">
        <v>12000.0</v>
      </c>
      <c r="AG91" s="62"/>
      <c r="AH91" s="62">
        <v>8000.0</v>
      </c>
      <c r="AI91" s="62"/>
      <c r="AJ91" s="62">
        <v>0.0</v>
      </c>
      <c r="AK91" s="62"/>
      <c r="AL91" s="62">
        <v>3000.0</v>
      </c>
      <c r="AM91" s="62"/>
      <c r="AN91" s="62">
        <v>12000.0</v>
      </c>
      <c r="AO91" s="62"/>
      <c r="AP91" s="62">
        <v>18000.0</v>
      </c>
      <c r="AQ91" s="62"/>
      <c r="AR91" s="62">
        <v>9000.0</v>
      </c>
      <c r="AS91" s="62"/>
      <c r="AT91" s="62">
        <v>0.0</v>
      </c>
      <c r="AU91" s="62"/>
      <c r="AV91" s="62">
        <v>0.0</v>
      </c>
      <c r="AW91" s="62"/>
      <c r="AX91" s="62">
        <v>0.0</v>
      </c>
      <c r="AY91" s="62">
        <v>0.0</v>
      </c>
      <c r="AZ91" s="62">
        <v>0.0</v>
      </c>
    </row>
    <row r="92" ht="22.5" customHeight="1">
      <c r="A92" s="62" t="s">
        <v>234</v>
      </c>
      <c r="B92" s="62" t="s">
        <v>1159</v>
      </c>
      <c r="C92" s="62" t="s">
        <v>1160</v>
      </c>
      <c r="D92" s="62">
        <v>2027.0</v>
      </c>
      <c r="E92" s="63">
        <v>66.6681395928</v>
      </c>
      <c r="F92" s="62">
        <v>0.0</v>
      </c>
      <c r="G92" s="71"/>
      <c r="H92" s="71">
        <v>0.0</v>
      </c>
      <c r="I92" s="71"/>
      <c r="J92" s="71">
        <v>0.0</v>
      </c>
      <c r="K92" s="64"/>
      <c r="L92" s="64" t="s">
        <v>1092</v>
      </c>
      <c r="M92" s="62"/>
      <c r="N92" s="62">
        <v>0.0</v>
      </c>
      <c r="O92" s="62"/>
      <c r="P92" s="62">
        <v>0.0</v>
      </c>
      <c r="Q92" s="62"/>
      <c r="R92" s="62">
        <v>0.0</v>
      </c>
      <c r="S92" s="62"/>
      <c r="T92" s="62">
        <v>0.0</v>
      </c>
      <c r="U92" s="62"/>
      <c r="V92" s="62">
        <v>0.0</v>
      </c>
      <c r="W92" s="62"/>
      <c r="X92" s="62">
        <v>10000.0</v>
      </c>
      <c r="Y92" s="62"/>
      <c r="Z92" s="62">
        <v>25000.0</v>
      </c>
      <c r="AA92" s="62"/>
      <c r="AB92" s="62">
        <v>15000.0</v>
      </c>
      <c r="AC92" s="62"/>
      <c r="AD92" s="62">
        <v>0.0</v>
      </c>
      <c r="AE92" s="62"/>
      <c r="AF92" s="62">
        <v>0.0</v>
      </c>
      <c r="AG92" s="62"/>
      <c r="AH92" s="62">
        <v>0.0</v>
      </c>
      <c r="AI92" s="62"/>
      <c r="AJ92" s="62">
        <v>0.0</v>
      </c>
      <c r="AK92" s="62"/>
      <c r="AL92" s="62">
        <v>10000.0</v>
      </c>
      <c r="AM92" s="62"/>
      <c r="AN92" s="62">
        <v>10000.0</v>
      </c>
      <c r="AO92" s="62"/>
      <c r="AP92" s="62">
        <v>20000.0</v>
      </c>
      <c r="AQ92" s="62"/>
      <c r="AR92" s="62">
        <v>15000.0</v>
      </c>
      <c r="AS92" s="62"/>
      <c r="AT92" s="62">
        <v>12000.0</v>
      </c>
      <c r="AU92" s="62"/>
      <c r="AV92" s="62">
        <v>0.0</v>
      </c>
      <c r="AW92" s="62"/>
      <c r="AX92" s="62">
        <v>0.0</v>
      </c>
      <c r="AY92" s="62">
        <v>0.0</v>
      </c>
      <c r="AZ92" s="62">
        <v>0.0</v>
      </c>
    </row>
    <row r="93" ht="22.5" customHeight="1">
      <c r="A93" s="62" t="s">
        <v>95</v>
      </c>
      <c r="B93" s="62" t="s">
        <v>1103</v>
      </c>
      <c r="C93" s="62" t="s">
        <v>1104</v>
      </c>
      <c r="D93" s="62">
        <v>2022.0</v>
      </c>
      <c r="E93" s="63">
        <v>16.8565995196</v>
      </c>
      <c r="F93" s="62">
        <v>3000.0</v>
      </c>
      <c r="G93" s="71"/>
      <c r="H93" s="71">
        <v>3000.0</v>
      </c>
      <c r="I93" s="71"/>
      <c r="J93" s="71">
        <v>0.0</v>
      </c>
      <c r="K93" s="64"/>
      <c r="L93" s="64" t="s">
        <v>1092</v>
      </c>
      <c r="M93" s="62"/>
      <c r="N93" s="62">
        <v>0.0</v>
      </c>
      <c r="O93" s="62"/>
      <c r="P93" s="62">
        <v>0.0</v>
      </c>
      <c r="Q93" s="62"/>
      <c r="R93" s="62">
        <v>0.0</v>
      </c>
      <c r="S93" s="62"/>
      <c r="T93" s="62">
        <v>0.0</v>
      </c>
      <c r="U93" s="62"/>
      <c r="V93" s="62">
        <v>0.0</v>
      </c>
      <c r="W93" s="62"/>
      <c r="X93" s="62">
        <v>0.0</v>
      </c>
      <c r="Y93" s="62"/>
      <c r="Z93" s="62">
        <v>0.0</v>
      </c>
      <c r="AA93" s="62"/>
      <c r="AB93" s="62">
        <v>6000.0</v>
      </c>
      <c r="AC93" s="62"/>
      <c r="AD93" s="62">
        <v>5000.0</v>
      </c>
      <c r="AE93" s="62"/>
      <c r="AF93" s="62">
        <v>7000.0</v>
      </c>
      <c r="AG93" s="62"/>
      <c r="AH93" s="62">
        <v>3000.0</v>
      </c>
      <c r="AI93" s="62"/>
      <c r="AJ93" s="62">
        <v>1000.0</v>
      </c>
      <c r="AK93" s="62"/>
      <c r="AL93" s="62">
        <v>6000.0</v>
      </c>
      <c r="AM93" s="62"/>
      <c r="AN93" s="62">
        <v>12000.0</v>
      </c>
      <c r="AO93" s="62"/>
      <c r="AP93" s="62">
        <v>0.0</v>
      </c>
      <c r="AQ93" s="62"/>
      <c r="AR93" s="62">
        <v>0.0</v>
      </c>
      <c r="AS93" s="62"/>
      <c r="AT93" s="62">
        <v>7000.0</v>
      </c>
      <c r="AU93" s="62"/>
      <c r="AV93" s="62">
        <v>5000.0</v>
      </c>
      <c r="AW93" s="62"/>
      <c r="AX93" s="62">
        <v>2000.0</v>
      </c>
      <c r="AY93" s="62">
        <v>0.0</v>
      </c>
      <c r="AZ93" s="62">
        <v>0.0</v>
      </c>
    </row>
    <row r="94" ht="22.5" customHeight="1">
      <c r="A94" s="62" t="s">
        <v>95</v>
      </c>
      <c r="B94" s="62" t="s">
        <v>1117</v>
      </c>
      <c r="C94" s="62" t="s">
        <v>1118</v>
      </c>
      <c r="D94" s="62">
        <v>2023.0</v>
      </c>
      <c r="E94" s="63">
        <v>20.6444992475</v>
      </c>
      <c r="F94" s="62">
        <v>12000.0</v>
      </c>
      <c r="G94" s="71"/>
      <c r="H94" s="71">
        <v>8000.0</v>
      </c>
      <c r="I94" s="71"/>
      <c r="J94" s="71">
        <v>7000.0</v>
      </c>
      <c r="K94" s="64"/>
      <c r="L94" s="64" t="s">
        <v>1092</v>
      </c>
      <c r="M94" s="62"/>
      <c r="N94" s="62">
        <v>16000.0</v>
      </c>
      <c r="O94" s="62"/>
      <c r="P94" s="62">
        <v>10000.0</v>
      </c>
      <c r="Q94" s="62"/>
      <c r="R94" s="62">
        <v>7000.0</v>
      </c>
      <c r="S94" s="62"/>
      <c r="T94" s="62">
        <v>10000.0</v>
      </c>
      <c r="U94" s="62"/>
      <c r="V94" s="62">
        <v>5000.0</v>
      </c>
      <c r="W94" s="62"/>
      <c r="X94" s="62">
        <v>0.0</v>
      </c>
      <c r="Y94" s="62"/>
      <c r="Z94" s="62">
        <v>0.0</v>
      </c>
      <c r="AA94" s="62"/>
      <c r="AB94" s="62">
        <v>8000.0</v>
      </c>
      <c r="AC94" s="62"/>
      <c r="AD94" s="62">
        <v>8000.0</v>
      </c>
      <c r="AE94" s="62"/>
      <c r="AF94" s="62">
        <v>5000.0</v>
      </c>
      <c r="AG94" s="62"/>
      <c r="AH94" s="62">
        <v>3000.0</v>
      </c>
      <c r="AI94" s="62"/>
      <c r="AJ94" s="62">
        <v>3000.0</v>
      </c>
      <c r="AK94" s="62"/>
      <c r="AL94" s="62">
        <v>8000.0</v>
      </c>
      <c r="AM94" s="62"/>
      <c r="AN94" s="62">
        <v>12000.0</v>
      </c>
      <c r="AO94" s="62"/>
      <c r="AP94" s="62">
        <v>8000.0</v>
      </c>
      <c r="AQ94" s="62"/>
      <c r="AR94" s="62">
        <v>0.0</v>
      </c>
      <c r="AS94" s="62"/>
      <c r="AT94" s="62">
        <v>0.0</v>
      </c>
      <c r="AU94" s="62"/>
      <c r="AV94" s="62">
        <v>8000.0</v>
      </c>
      <c r="AW94" s="62"/>
      <c r="AX94" s="62">
        <v>5000.0</v>
      </c>
      <c r="AY94" s="62">
        <v>5000.0</v>
      </c>
      <c r="AZ94" s="62">
        <v>0.0</v>
      </c>
    </row>
    <row r="95" ht="22.5" customHeight="1">
      <c r="A95" s="62" t="s">
        <v>246</v>
      </c>
      <c r="B95" s="62" t="s">
        <v>1123</v>
      </c>
      <c r="C95" s="62" t="s">
        <v>1143</v>
      </c>
      <c r="D95" s="62">
        <v>2026.0</v>
      </c>
      <c r="E95" s="63">
        <v>34.1928592778</v>
      </c>
      <c r="F95" s="62">
        <v>0.0</v>
      </c>
      <c r="G95" s="71"/>
      <c r="H95" s="71">
        <v>0.0</v>
      </c>
      <c r="I95" s="71"/>
      <c r="J95" s="71">
        <v>0.0</v>
      </c>
      <c r="K95" s="64"/>
      <c r="L95" s="64" t="s">
        <v>1092</v>
      </c>
      <c r="M95" s="62"/>
      <c r="N95" s="62">
        <v>0.0</v>
      </c>
      <c r="O95" s="62"/>
      <c r="P95" s="62">
        <v>0.0</v>
      </c>
      <c r="Q95" s="62"/>
      <c r="R95" s="62">
        <v>0.0</v>
      </c>
      <c r="S95" s="62"/>
      <c r="T95" s="62">
        <v>0.0</v>
      </c>
      <c r="U95" s="62"/>
      <c r="V95" s="62">
        <v>0.0</v>
      </c>
      <c r="W95" s="62"/>
      <c r="X95" s="62">
        <v>0.0</v>
      </c>
      <c r="Y95" s="62"/>
      <c r="Z95" s="62">
        <v>0.0</v>
      </c>
      <c r="AA95" s="62"/>
      <c r="AB95" s="62">
        <v>0.0</v>
      </c>
      <c r="AC95" s="62"/>
      <c r="AD95" s="62">
        <v>0.0</v>
      </c>
      <c r="AE95" s="62"/>
      <c r="AF95" s="62">
        <v>13000.0</v>
      </c>
      <c r="AG95" s="62"/>
      <c r="AH95" s="62">
        <v>6000.0</v>
      </c>
      <c r="AI95" s="62"/>
      <c r="AJ95" s="62">
        <v>10000.0</v>
      </c>
      <c r="AK95" s="62"/>
      <c r="AL95" s="62">
        <v>4000.0</v>
      </c>
      <c r="AM95" s="62"/>
      <c r="AN95" s="62">
        <v>0.0</v>
      </c>
      <c r="AO95" s="62"/>
      <c r="AP95" s="62">
        <v>2000.0</v>
      </c>
      <c r="AQ95" s="62"/>
      <c r="AR95" s="62">
        <v>6000.0</v>
      </c>
      <c r="AS95" s="62"/>
      <c r="AT95" s="62">
        <v>7500.0</v>
      </c>
      <c r="AU95" s="62"/>
      <c r="AV95" s="62">
        <v>10000.0</v>
      </c>
      <c r="AW95" s="62"/>
      <c r="AX95" s="62">
        <v>0.0</v>
      </c>
      <c r="AY95" s="62">
        <v>5000.0</v>
      </c>
      <c r="AZ95" s="62">
        <v>20000.0</v>
      </c>
    </row>
    <row r="96" ht="22.5" customHeight="1">
      <c r="A96" s="62" t="s">
        <v>246</v>
      </c>
      <c r="B96" s="62" t="s">
        <v>1113</v>
      </c>
      <c r="C96" s="62" t="s">
        <v>1114</v>
      </c>
      <c r="D96" s="62">
        <v>2023.0</v>
      </c>
      <c r="E96" s="63">
        <v>42.8989254987</v>
      </c>
      <c r="F96" s="62">
        <v>0.0</v>
      </c>
      <c r="G96" s="71"/>
      <c r="H96" s="71">
        <v>0.0</v>
      </c>
      <c r="I96" s="71"/>
      <c r="J96" s="71">
        <v>0.0</v>
      </c>
      <c r="K96" s="64"/>
      <c r="L96" s="64" t="s">
        <v>1092</v>
      </c>
      <c r="M96" s="62"/>
      <c r="N96" s="62">
        <v>12000.0</v>
      </c>
      <c r="O96" s="62"/>
      <c r="P96" s="62">
        <v>10000.0</v>
      </c>
      <c r="Q96" s="62"/>
      <c r="R96" s="62">
        <v>5000.0</v>
      </c>
      <c r="S96" s="62"/>
      <c r="T96" s="62">
        <v>4000.0</v>
      </c>
      <c r="U96" s="62"/>
      <c r="V96" s="62">
        <v>0.0</v>
      </c>
      <c r="W96" s="62"/>
      <c r="X96" s="62">
        <v>0.0</v>
      </c>
      <c r="Y96" s="62"/>
      <c r="Z96" s="62">
        <v>0.0</v>
      </c>
      <c r="AA96" s="62"/>
      <c r="AB96" s="62">
        <v>0.0</v>
      </c>
      <c r="AC96" s="62"/>
      <c r="AD96" s="62">
        <v>0.0</v>
      </c>
      <c r="AE96" s="62"/>
      <c r="AF96" s="62">
        <v>25000.0</v>
      </c>
      <c r="AG96" s="62"/>
      <c r="AH96" s="62">
        <v>12000.0</v>
      </c>
      <c r="AI96" s="62"/>
      <c r="AJ96" s="62">
        <v>20000.0</v>
      </c>
      <c r="AK96" s="62"/>
      <c r="AL96" s="62">
        <v>8000.0</v>
      </c>
      <c r="AM96" s="62"/>
      <c r="AN96" s="62">
        <v>0.0</v>
      </c>
      <c r="AO96" s="62"/>
      <c r="AP96" s="62">
        <v>0.0</v>
      </c>
      <c r="AQ96" s="62"/>
      <c r="AR96" s="62">
        <v>0.0</v>
      </c>
      <c r="AS96" s="62"/>
      <c r="AT96" s="62">
        <v>0.0</v>
      </c>
      <c r="AU96" s="62"/>
      <c r="AV96" s="62">
        <v>0.0</v>
      </c>
      <c r="AW96" s="62"/>
      <c r="AX96" s="62">
        <v>12000.0</v>
      </c>
      <c r="AY96" s="62">
        <v>0.0</v>
      </c>
      <c r="AZ96" s="62">
        <v>0.0</v>
      </c>
    </row>
    <row r="97" ht="22.5" customHeight="1">
      <c r="A97" s="62" t="s">
        <v>246</v>
      </c>
      <c r="B97" s="62" t="s">
        <v>1090</v>
      </c>
      <c r="C97" s="62" t="s">
        <v>1091</v>
      </c>
      <c r="D97" s="62">
        <v>2021.0</v>
      </c>
      <c r="E97" s="63">
        <v>22.9580921452</v>
      </c>
      <c r="F97" s="62">
        <v>0.0</v>
      </c>
      <c r="G97" s="71"/>
      <c r="H97" s="71">
        <v>0.0</v>
      </c>
      <c r="I97" s="71"/>
      <c r="J97" s="71">
        <v>0.0</v>
      </c>
      <c r="K97" s="64"/>
      <c r="L97" s="64" t="s">
        <v>1092</v>
      </c>
      <c r="M97" s="62"/>
      <c r="N97" s="62">
        <v>6000.0</v>
      </c>
      <c r="O97" s="62"/>
      <c r="P97" s="62">
        <v>8000.0</v>
      </c>
      <c r="Q97" s="62"/>
      <c r="R97" s="62">
        <v>7000.0</v>
      </c>
      <c r="S97" s="62"/>
      <c r="T97" s="62">
        <v>3000.0</v>
      </c>
      <c r="U97" s="62"/>
      <c r="V97" s="62">
        <v>0.0</v>
      </c>
      <c r="W97" s="62"/>
      <c r="X97" s="62">
        <v>0.0</v>
      </c>
      <c r="Y97" s="62"/>
      <c r="Z97" s="62">
        <v>0.0</v>
      </c>
      <c r="AA97" s="62"/>
      <c r="AB97" s="62">
        <v>12000.0</v>
      </c>
      <c r="AC97" s="62"/>
      <c r="AD97" s="62">
        <v>0.0</v>
      </c>
      <c r="AE97" s="62"/>
      <c r="AF97" s="62">
        <v>12000.0</v>
      </c>
      <c r="AG97" s="62"/>
      <c r="AH97" s="62">
        <v>10000.0</v>
      </c>
      <c r="AI97" s="62"/>
      <c r="AJ97" s="62">
        <v>8000.0</v>
      </c>
      <c r="AK97" s="62"/>
      <c r="AL97" s="62">
        <v>6000.0</v>
      </c>
      <c r="AM97" s="62"/>
      <c r="AN97" s="62">
        <v>0.0</v>
      </c>
      <c r="AO97" s="62"/>
      <c r="AP97" s="62">
        <v>2000.0</v>
      </c>
      <c r="AQ97" s="62"/>
      <c r="AR97" s="62">
        <v>4000.0</v>
      </c>
      <c r="AS97" s="62"/>
      <c r="AT97" s="62">
        <v>4000.0</v>
      </c>
      <c r="AU97" s="62"/>
      <c r="AV97" s="62">
        <v>4000.0</v>
      </c>
      <c r="AW97" s="62"/>
      <c r="AX97" s="62">
        <v>4000.0</v>
      </c>
      <c r="AY97" s="62">
        <v>0.0</v>
      </c>
      <c r="AZ97" s="62">
        <v>0.0</v>
      </c>
    </row>
    <row r="98" ht="22.5" customHeight="1">
      <c r="A98" s="62" t="s">
        <v>246</v>
      </c>
      <c r="B98" s="62" t="s">
        <v>1164</v>
      </c>
      <c r="C98" s="62" t="s">
        <v>1165</v>
      </c>
      <c r="D98" s="62" t="s">
        <v>1163</v>
      </c>
      <c r="E98" s="63">
        <v>15.4976133198</v>
      </c>
      <c r="F98" s="62">
        <v>0.0</v>
      </c>
      <c r="G98" s="71"/>
      <c r="H98" s="71">
        <v>0.0</v>
      </c>
      <c r="I98" s="71"/>
      <c r="J98" s="71">
        <v>0.0</v>
      </c>
      <c r="K98" s="64"/>
      <c r="L98" s="64" t="s">
        <v>1092</v>
      </c>
      <c r="M98" s="62"/>
      <c r="N98" s="62">
        <v>6000.0</v>
      </c>
      <c r="O98" s="62"/>
      <c r="P98" s="62">
        <v>8000.0</v>
      </c>
      <c r="Q98" s="62"/>
      <c r="R98" s="62">
        <v>7000.0</v>
      </c>
      <c r="S98" s="62"/>
      <c r="T98" s="62">
        <v>3000.0</v>
      </c>
      <c r="U98" s="62"/>
      <c r="V98" s="62">
        <v>0.0</v>
      </c>
      <c r="W98" s="62"/>
      <c r="X98" s="62">
        <v>0.0</v>
      </c>
      <c r="Y98" s="62"/>
      <c r="Z98" s="62">
        <v>0.0</v>
      </c>
      <c r="AA98" s="62"/>
      <c r="AB98" s="62">
        <v>0.0</v>
      </c>
      <c r="AC98" s="62"/>
      <c r="AD98" s="62">
        <v>0.0</v>
      </c>
      <c r="AE98" s="62"/>
      <c r="AF98" s="62">
        <v>10000.0</v>
      </c>
      <c r="AG98" s="62"/>
      <c r="AH98" s="62">
        <v>2000.0</v>
      </c>
      <c r="AI98" s="62"/>
      <c r="AJ98" s="62">
        <v>0.0</v>
      </c>
      <c r="AK98" s="62"/>
      <c r="AL98" s="62">
        <v>0.0</v>
      </c>
      <c r="AM98" s="62"/>
      <c r="AN98" s="62">
        <v>0.0</v>
      </c>
      <c r="AO98" s="62"/>
      <c r="AP98" s="62">
        <v>0.0</v>
      </c>
      <c r="AQ98" s="62"/>
      <c r="AR98" s="62">
        <v>0.0</v>
      </c>
      <c r="AS98" s="62"/>
      <c r="AT98" s="62">
        <v>0.0</v>
      </c>
      <c r="AU98" s="62"/>
      <c r="AV98" s="62">
        <v>0.0</v>
      </c>
      <c r="AW98" s="62"/>
      <c r="AX98" s="62">
        <v>0.0</v>
      </c>
      <c r="AY98" s="62">
        <v>0.0</v>
      </c>
      <c r="AZ98" s="62">
        <v>0.0</v>
      </c>
    </row>
    <row r="99" ht="22.5" customHeight="1">
      <c r="A99" s="62" t="s">
        <v>246</v>
      </c>
      <c r="B99" s="62" t="s">
        <v>1144</v>
      </c>
      <c r="C99" s="62" t="s">
        <v>1145</v>
      </c>
      <c r="D99" s="62">
        <v>2026.0</v>
      </c>
      <c r="E99" s="63">
        <v>35.3952011094</v>
      </c>
      <c r="F99" s="62">
        <v>0.0</v>
      </c>
      <c r="G99" s="71"/>
      <c r="H99" s="71">
        <v>0.0</v>
      </c>
      <c r="I99" s="71"/>
      <c r="J99" s="71">
        <v>0.0</v>
      </c>
      <c r="K99" s="64"/>
      <c r="L99" s="64" t="s">
        <v>1092</v>
      </c>
      <c r="M99" s="62"/>
      <c r="N99" s="62">
        <v>12000.0</v>
      </c>
      <c r="O99" s="62"/>
      <c r="P99" s="62">
        <v>10000.0</v>
      </c>
      <c r="Q99" s="62"/>
      <c r="R99" s="62">
        <v>5000.0</v>
      </c>
      <c r="S99" s="62"/>
      <c r="T99" s="62">
        <v>4000.0</v>
      </c>
      <c r="U99" s="62"/>
      <c r="V99" s="62">
        <v>0.0</v>
      </c>
      <c r="W99" s="62"/>
      <c r="X99" s="62">
        <v>0.0</v>
      </c>
      <c r="Y99" s="62"/>
      <c r="Z99" s="62">
        <v>0.0</v>
      </c>
      <c r="AA99" s="62"/>
      <c r="AB99" s="62">
        <v>0.0</v>
      </c>
      <c r="AC99" s="62"/>
      <c r="AD99" s="62">
        <v>0.0</v>
      </c>
      <c r="AE99" s="62"/>
      <c r="AF99" s="62">
        <v>0.0</v>
      </c>
      <c r="AG99" s="62"/>
      <c r="AH99" s="62">
        <v>0.0</v>
      </c>
      <c r="AI99" s="62"/>
      <c r="AJ99" s="62">
        <v>7000.0</v>
      </c>
      <c r="AK99" s="62"/>
      <c r="AL99" s="62">
        <v>8000.0</v>
      </c>
      <c r="AM99" s="62"/>
      <c r="AN99" s="62">
        <v>5000.0</v>
      </c>
      <c r="AO99" s="62"/>
      <c r="AP99" s="62">
        <v>0.0</v>
      </c>
      <c r="AQ99" s="62"/>
      <c r="AR99" s="62">
        <v>0.0</v>
      </c>
      <c r="AS99" s="62"/>
      <c r="AT99" s="62">
        <v>0.0</v>
      </c>
      <c r="AU99" s="62"/>
      <c r="AV99" s="62">
        <v>0.0</v>
      </c>
      <c r="AW99" s="62"/>
      <c r="AX99" s="62">
        <v>0.0</v>
      </c>
      <c r="AY99" s="62">
        <v>0.0</v>
      </c>
      <c r="AZ99" s="62">
        <v>0.0</v>
      </c>
    </row>
    <row r="100" ht="22.5" customHeight="1">
      <c r="A100" s="62" t="s">
        <v>246</v>
      </c>
      <c r="B100" s="62" t="s">
        <v>1097</v>
      </c>
      <c r="C100" s="62" t="s">
        <v>1098</v>
      </c>
      <c r="D100" s="62">
        <v>2022.0</v>
      </c>
      <c r="E100" s="63">
        <v>17.0329955136</v>
      </c>
      <c r="F100" s="62">
        <v>0.0</v>
      </c>
      <c r="G100" s="71"/>
      <c r="H100" s="71">
        <v>0.0</v>
      </c>
      <c r="I100" s="71"/>
      <c r="J100" s="71">
        <v>9000.0</v>
      </c>
      <c r="K100" s="64"/>
      <c r="L100" s="64" t="s">
        <v>1092</v>
      </c>
      <c r="M100" s="62"/>
      <c r="N100" s="62">
        <v>9000.0</v>
      </c>
      <c r="O100" s="62"/>
      <c r="P100" s="62">
        <v>5000.0</v>
      </c>
      <c r="Q100" s="62"/>
      <c r="R100" s="62">
        <v>0.0</v>
      </c>
      <c r="S100" s="62"/>
      <c r="T100" s="62">
        <v>0.0</v>
      </c>
      <c r="U100" s="62"/>
      <c r="V100" s="62">
        <v>0.0</v>
      </c>
      <c r="W100" s="62"/>
      <c r="X100" s="62">
        <v>0.0</v>
      </c>
      <c r="Y100" s="62"/>
      <c r="Z100" s="62">
        <v>5000.0</v>
      </c>
      <c r="AA100" s="62"/>
      <c r="AB100" s="62">
        <v>2000.0</v>
      </c>
      <c r="AC100" s="62"/>
      <c r="AD100" s="62">
        <v>12000.0</v>
      </c>
      <c r="AE100" s="62"/>
      <c r="AF100" s="62">
        <v>17300.0</v>
      </c>
      <c r="AG100" s="62"/>
      <c r="AH100" s="62">
        <v>4000.0</v>
      </c>
      <c r="AI100" s="62"/>
      <c r="AJ100" s="62">
        <v>5000.0</v>
      </c>
      <c r="AK100" s="62"/>
      <c r="AL100" s="62">
        <v>0.0</v>
      </c>
      <c r="AM100" s="62"/>
      <c r="AN100" s="62">
        <v>0.0</v>
      </c>
      <c r="AO100" s="62"/>
      <c r="AP100" s="62">
        <v>0.0</v>
      </c>
      <c r="AQ100" s="62"/>
      <c r="AR100" s="62">
        <v>0.0</v>
      </c>
      <c r="AS100" s="62"/>
      <c r="AT100" s="62">
        <v>7500.0</v>
      </c>
      <c r="AU100" s="62"/>
      <c r="AV100" s="62">
        <v>8000.0</v>
      </c>
      <c r="AW100" s="62"/>
      <c r="AX100" s="62">
        <v>8000.0</v>
      </c>
      <c r="AY100" s="62">
        <v>0.0</v>
      </c>
      <c r="AZ100" s="62">
        <v>0.0</v>
      </c>
    </row>
    <row r="101" ht="22.5" customHeight="1">
      <c r="A101" s="62" t="s">
        <v>116</v>
      </c>
      <c r="B101" s="62" t="s">
        <v>1192</v>
      </c>
      <c r="C101" s="62" t="s">
        <v>1193</v>
      </c>
      <c r="D101" s="62" t="s">
        <v>1163</v>
      </c>
      <c r="E101" s="63">
        <v>5.94360357263</v>
      </c>
      <c r="F101" s="62">
        <v>0.0</v>
      </c>
      <c r="G101" s="71"/>
      <c r="H101" s="71">
        <v>4000.0</v>
      </c>
      <c r="I101" s="71"/>
      <c r="J101" s="71">
        <v>6000.0</v>
      </c>
      <c r="K101" s="64"/>
      <c r="L101" s="64" t="s">
        <v>1092</v>
      </c>
      <c r="M101" s="62"/>
      <c r="N101" s="62">
        <v>6000.0</v>
      </c>
      <c r="O101" s="62"/>
      <c r="P101" s="62">
        <v>2000.0</v>
      </c>
      <c r="Q101" s="62"/>
      <c r="R101" s="62">
        <v>0.0</v>
      </c>
      <c r="S101" s="62"/>
      <c r="T101" s="62">
        <v>0.0</v>
      </c>
      <c r="U101" s="62"/>
      <c r="V101" s="62">
        <v>0.0</v>
      </c>
      <c r="W101" s="62"/>
      <c r="X101" s="62">
        <v>0.0</v>
      </c>
      <c r="Y101" s="62"/>
      <c r="Z101" s="62">
        <v>0.0</v>
      </c>
      <c r="AA101" s="62"/>
      <c r="AB101" s="62">
        <v>0.0</v>
      </c>
      <c r="AC101" s="62"/>
      <c r="AD101" s="62">
        <v>3500.0</v>
      </c>
      <c r="AE101" s="62"/>
      <c r="AF101" s="62">
        <v>1500.0</v>
      </c>
      <c r="AG101" s="62"/>
      <c r="AH101" s="62">
        <v>3000.0</v>
      </c>
      <c r="AI101" s="62"/>
      <c r="AJ101" s="62">
        <v>4500.0</v>
      </c>
      <c r="AK101" s="62"/>
      <c r="AL101" s="62">
        <v>4000.0</v>
      </c>
      <c r="AM101" s="62"/>
      <c r="AN101" s="62">
        <v>2500.0</v>
      </c>
      <c r="AO101" s="62"/>
      <c r="AP101" s="62">
        <v>0.0</v>
      </c>
      <c r="AQ101" s="62"/>
      <c r="AR101" s="62">
        <v>0.0</v>
      </c>
      <c r="AS101" s="62"/>
      <c r="AT101" s="62">
        <v>0.0</v>
      </c>
      <c r="AU101" s="62"/>
      <c r="AV101" s="62">
        <v>0.0</v>
      </c>
      <c r="AW101" s="62"/>
      <c r="AX101" s="62">
        <v>0.0</v>
      </c>
      <c r="AY101" s="62">
        <v>0.0</v>
      </c>
      <c r="AZ101" s="62">
        <v>0.0</v>
      </c>
    </row>
    <row r="102" ht="22.5" customHeight="1">
      <c r="A102" s="62" t="s">
        <v>116</v>
      </c>
      <c r="B102" s="62" t="s">
        <v>1188</v>
      </c>
      <c r="C102" s="62" t="s">
        <v>1189</v>
      </c>
      <c r="D102" s="62" t="s">
        <v>1163</v>
      </c>
      <c r="E102" s="63">
        <v>14.2735043351</v>
      </c>
      <c r="F102" s="62">
        <v>0.0</v>
      </c>
      <c r="G102" s="71"/>
      <c r="H102" s="71">
        <v>4000.0</v>
      </c>
      <c r="I102" s="71"/>
      <c r="J102" s="71">
        <v>6000.0</v>
      </c>
      <c r="K102" s="64"/>
      <c r="L102" s="64" t="s">
        <v>1092</v>
      </c>
      <c r="M102" s="62"/>
      <c r="N102" s="62">
        <v>6000.0</v>
      </c>
      <c r="O102" s="62"/>
      <c r="P102" s="62">
        <v>2000.0</v>
      </c>
      <c r="Q102" s="62"/>
      <c r="R102" s="62">
        <v>0.0</v>
      </c>
      <c r="S102" s="62"/>
      <c r="T102" s="62">
        <v>0.0</v>
      </c>
      <c r="U102" s="62"/>
      <c r="V102" s="62">
        <v>0.0</v>
      </c>
      <c r="W102" s="62"/>
      <c r="X102" s="62">
        <v>0.0</v>
      </c>
      <c r="Y102" s="62"/>
      <c r="Z102" s="62">
        <v>0.0</v>
      </c>
      <c r="AA102" s="62"/>
      <c r="AB102" s="62">
        <v>1000.0</v>
      </c>
      <c r="AC102" s="62"/>
      <c r="AD102" s="62">
        <v>3500.0</v>
      </c>
      <c r="AE102" s="62"/>
      <c r="AF102" s="62">
        <v>8000.0</v>
      </c>
      <c r="AG102" s="62"/>
      <c r="AH102" s="62">
        <v>3000.0</v>
      </c>
      <c r="AI102" s="62"/>
      <c r="AJ102" s="62">
        <v>2000.0</v>
      </c>
      <c r="AK102" s="62"/>
      <c r="AL102" s="62">
        <v>0.0</v>
      </c>
      <c r="AM102" s="62"/>
      <c r="AN102" s="62">
        <v>2500.0</v>
      </c>
      <c r="AO102" s="62"/>
      <c r="AP102" s="62">
        <v>0.0</v>
      </c>
      <c r="AQ102" s="62"/>
      <c r="AR102" s="62">
        <v>0.0</v>
      </c>
      <c r="AS102" s="62"/>
      <c r="AT102" s="62">
        <v>0.0</v>
      </c>
      <c r="AU102" s="62"/>
      <c r="AV102" s="62">
        <v>0.0</v>
      </c>
      <c r="AW102" s="62"/>
      <c r="AX102" s="62">
        <v>0.0</v>
      </c>
      <c r="AY102" s="62">
        <v>0.0</v>
      </c>
      <c r="AZ102" s="62">
        <v>0.0</v>
      </c>
    </row>
    <row r="103" ht="22.5" customHeight="1">
      <c r="A103" s="62" t="s">
        <v>116</v>
      </c>
      <c r="B103" s="62" t="s">
        <v>1194</v>
      </c>
      <c r="C103" s="62" t="s">
        <v>1195</v>
      </c>
      <c r="D103" s="62" t="s">
        <v>1163</v>
      </c>
      <c r="E103" s="63">
        <v>3.03126572495</v>
      </c>
      <c r="F103" s="62">
        <v>0.0</v>
      </c>
      <c r="G103" s="71"/>
      <c r="H103" s="71">
        <v>4000.0</v>
      </c>
      <c r="I103" s="71"/>
      <c r="J103" s="71">
        <v>6000.0</v>
      </c>
      <c r="K103" s="64"/>
      <c r="L103" s="64" t="s">
        <v>1092</v>
      </c>
      <c r="M103" s="62"/>
      <c r="N103" s="62">
        <v>6000.0</v>
      </c>
      <c r="O103" s="62"/>
      <c r="P103" s="62">
        <v>2000.0</v>
      </c>
      <c r="Q103" s="62"/>
      <c r="R103" s="62">
        <v>0.0</v>
      </c>
      <c r="S103" s="62"/>
      <c r="T103" s="62">
        <v>0.0</v>
      </c>
      <c r="U103" s="62"/>
      <c r="V103" s="62">
        <v>0.0</v>
      </c>
      <c r="W103" s="62"/>
      <c r="X103" s="62">
        <v>0.0</v>
      </c>
      <c r="Y103" s="62"/>
      <c r="Z103" s="62">
        <v>0.0</v>
      </c>
      <c r="AA103" s="62"/>
      <c r="AB103" s="62">
        <v>1000.0</v>
      </c>
      <c r="AC103" s="62"/>
      <c r="AD103" s="62">
        <v>0.0</v>
      </c>
      <c r="AE103" s="62"/>
      <c r="AF103" s="62">
        <v>1000.0</v>
      </c>
      <c r="AG103" s="62"/>
      <c r="AH103" s="62">
        <v>0.0</v>
      </c>
      <c r="AI103" s="62"/>
      <c r="AJ103" s="62">
        <v>0.0</v>
      </c>
      <c r="AK103" s="62"/>
      <c r="AL103" s="62">
        <v>0.0</v>
      </c>
      <c r="AM103" s="62"/>
      <c r="AN103" s="62">
        <v>0.0</v>
      </c>
      <c r="AO103" s="62"/>
      <c r="AP103" s="62">
        <v>0.0</v>
      </c>
      <c r="AQ103" s="62"/>
      <c r="AR103" s="62">
        <v>0.0</v>
      </c>
      <c r="AS103" s="62"/>
      <c r="AT103" s="62">
        <v>0.0</v>
      </c>
      <c r="AU103" s="62"/>
      <c r="AV103" s="62">
        <v>0.0</v>
      </c>
      <c r="AW103" s="62"/>
      <c r="AX103" s="62">
        <v>0.0</v>
      </c>
      <c r="AY103" s="62">
        <v>0.0</v>
      </c>
      <c r="AZ103" s="62">
        <v>0.0</v>
      </c>
    </row>
    <row r="104" ht="22.5" customHeight="1">
      <c r="A104" s="62" t="s">
        <v>234</v>
      </c>
      <c r="B104" s="62" t="s">
        <v>1176</v>
      </c>
      <c r="C104" s="62" t="s">
        <v>1177</v>
      </c>
      <c r="D104" s="62" t="s">
        <v>1163</v>
      </c>
      <c r="E104" s="63">
        <v>7.61309912288</v>
      </c>
      <c r="F104" s="62">
        <v>0.0</v>
      </c>
      <c r="G104" s="71"/>
      <c r="H104" s="71">
        <v>3000.0</v>
      </c>
      <c r="I104" s="71"/>
      <c r="J104" s="71">
        <v>3000.0</v>
      </c>
      <c r="K104" s="64"/>
      <c r="L104" s="64" t="s">
        <v>1092</v>
      </c>
      <c r="M104" s="62"/>
      <c r="N104" s="62">
        <v>1000.0</v>
      </c>
      <c r="O104" s="62"/>
      <c r="P104" s="62">
        <v>0.0</v>
      </c>
      <c r="Q104" s="62"/>
      <c r="R104" s="62">
        <v>0.0</v>
      </c>
      <c r="S104" s="62"/>
      <c r="T104" s="62">
        <v>0.0</v>
      </c>
      <c r="U104" s="62"/>
      <c r="V104" s="62">
        <v>0.0</v>
      </c>
      <c r="W104" s="62"/>
      <c r="X104" s="62">
        <v>1500.0</v>
      </c>
      <c r="Y104" s="62"/>
      <c r="Z104" s="62">
        <v>2500.0</v>
      </c>
      <c r="AA104" s="62"/>
      <c r="AB104" s="62">
        <v>5000.0</v>
      </c>
      <c r="AC104" s="62"/>
      <c r="AD104" s="62">
        <v>0.0</v>
      </c>
      <c r="AE104" s="62"/>
      <c r="AF104" s="62">
        <v>4000.0</v>
      </c>
      <c r="AG104" s="62"/>
      <c r="AH104" s="62">
        <v>1000.0</v>
      </c>
      <c r="AI104" s="62"/>
      <c r="AJ104" s="62">
        <v>1500.0</v>
      </c>
      <c r="AK104" s="62"/>
      <c r="AL104" s="62">
        <v>1500.0</v>
      </c>
      <c r="AM104" s="62"/>
      <c r="AN104" s="62">
        <v>0.0</v>
      </c>
      <c r="AO104" s="62"/>
      <c r="AP104" s="62">
        <v>0.0</v>
      </c>
      <c r="AQ104" s="62"/>
      <c r="AR104" s="62">
        <v>0.0</v>
      </c>
      <c r="AS104" s="62"/>
      <c r="AT104" s="62">
        <v>0.0</v>
      </c>
      <c r="AU104" s="62"/>
      <c r="AV104" s="62">
        <v>0.0</v>
      </c>
      <c r="AW104" s="62"/>
      <c r="AX104" s="62">
        <v>0.0</v>
      </c>
      <c r="AY104" s="62">
        <v>0.0</v>
      </c>
      <c r="AZ104" s="62">
        <v>0.0</v>
      </c>
    </row>
    <row r="105" ht="22.5" customHeight="1">
      <c r="A105" s="62" t="s">
        <v>234</v>
      </c>
      <c r="B105" s="62" t="s">
        <v>1178</v>
      </c>
      <c r="C105" s="62" t="s">
        <v>1179</v>
      </c>
      <c r="D105" s="62" t="s">
        <v>1163</v>
      </c>
      <c r="E105" s="63">
        <v>1.22864749961</v>
      </c>
      <c r="F105" s="62">
        <v>0.0</v>
      </c>
      <c r="G105" s="71"/>
      <c r="H105" s="71">
        <v>3000.0</v>
      </c>
      <c r="I105" s="71"/>
      <c r="J105" s="71">
        <v>3000.0</v>
      </c>
      <c r="K105" s="64"/>
      <c r="L105" s="64" t="s">
        <v>1092</v>
      </c>
      <c r="M105" s="62"/>
      <c r="N105" s="62">
        <v>1000.0</v>
      </c>
      <c r="O105" s="62"/>
      <c r="P105" s="62">
        <v>0.0</v>
      </c>
      <c r="Q105" s="62"/>
      <c r="R105" s="62">
        <v>0.0</v>
      </c>
      <c r="S105" s="62"/>
      <c r="T105" s="62">
        <v>0.0</v>
      </c>
      <c r="U105" s="62"/>
      <c r="V105" s="62">
        <v>0.0</v>
      </c>
      <c r="W105" s="62"/>
      <c r="X105" s="62">
        <v>1500.0</v>
      </c>
      <c r="Y105" s="62"/>
      <c r="Z105" s="62">
        <v>2500.0</v>
      </c>
      <c r="AA105" s="62"/>
      <c r="AB105" s="62">
        <v>5000.0</v>
      </c>
      <c r="AC105" s="62"/>
      <c r="AD105" s="62">
        <v>0.0</v>
      </c>
      <c r="AE105" s="62"/>
      <c r="AF105" s="62">
        <v>1000.0</v>
      </c>
      <c r="AG105" s="62"/>
      <c r="AH105" s="62">
        <v>1000.0</v>
      </c>
      <c r="AI105" s="62"/>
      <c r="AJ105" s="62">
        <v>200.0</v>
      </c>
      <c r="AK105" s="62"/>
      <c r="AL105" s="62">
        <v>200.0</v>
      </c>
      <c r="AM105" s="62"/>
      <c r="AN105" s="62">
        <v>0.0</v>
      </c>
      <c r="AO105" s="62"/>
      <c r="AP105" s="62">
        <v>0.0</v>
      </c>
      <c r="AQ105" s="62"/>
      <c r="AR105" s="62">
        <v>0.0</v>
      </c>
      <c r="AS105" s="62"/>
      <c r="AT105" s="62">
        <v>0.0</v>
      </c>
      <c r="AU105" s="62"/>
      <c r="AV105" s="62">
        <v>0.0</v>
      </c>
      <c r="AW105" s="62"/>
      <c r="AX105" s="62">
        <v>0.0</v>
      </c>
      <c r="AY105" s="62">
        <v>0.0</v>
      </c>
      <c r="AZ105" s="62">
        <v>0.0</v>
      </c>
    </row>
    <row r="106" ht="22.5" customHeight="1">
      <c r="A106" s="62" t="s">
        <v>234</v>
      </c>
      <c r="B106" s="62" t="s">
        <v>1180</v>
      </c>
      <c r="C106" s="62" t="s">
        <v>1181</v>
      </c>
      <c r="D106" s="62" t="s">
        <v>1163</v>
      </c>
      <c r="E106" s="63">
        <v>0.793302735532</v>
      </c>
      <c r="F106" s="62">
        <v>0.0</v>
      </c>
      <c r="G106" s="71"/>
      <c r="H106" s="71">
        <v>3000.0</v>
      </c>
      <c r="I106" s="71"/>
      <c r="J106" s="71">
        <v>3000.0</v>
      </c>
      <c r="K106" s="64"/>
      <c r="L106" s="64" t="s">
        <v>1092</v>
      </c>
      <c r="M106" s="62"/>
      <c r="N106" s="62">
        <v>1000.0</v>
      </c>
      <c r="O106" s="62"/>
      <c r="P106" s="62">
        <v>0.0</v>
      </c>
      <c r="Q106" s="62"/>
      <c r="R106" s="62">
        <v>0.0</v>
      </c>
      <c r="S106" s="62"/>
      <c r="T106" s="62">
        <v>0.0</v>
      </c>
      <c r="U106" s="62"/>
      <c r="V106" s="62">
        <v>0.0</v>
      </c>
      <c r="W106" s="62"/>
      <c r="X106" s="62">
        <v>1500.0</v>
      </c>
      <c r="Y106" s="62"/>
      <c r="Z106" s="62">
        <v>2500.0</v>
      </c>
      <c r="AA106" s="62"/>
      <c r="AB106" s="62">
        <v>5000.0</v>
      </c>
      <c r="AC106" s="62"/>
      <c r="AD106" s="62">
        <v>0.0</v>
      </c>
      <c r="AE106" s="62"/>
      <c r="AF106" s="62">
        <v>1000.0</v>
      </c>
      <c r="AG106" s="62"/>
      <c r="AH106" s="62">
        <v>1000.0</v>
      </c>
      <c r="AI106" s="62"/>
      <c r="AJ106" s="62">
        <v>500.0</v>
      </c>
      <c r="AK106" s="62"/>
      <c r="AL106" s="62">
        <v>500.0</v>
      </c>
      <c r="AM106" s="62"/>
      <c r="AN106" s="62">
        <v>0.0</v>
      </c>
      <c r="AO106" s="62"/>
      <c r="AP106" s="62">
        <v>0.0</v>
      </c>
      <c r="AQ106" s="62"/>
      <c r="AR106" s="62">
        <v>0.0</v>
      </c>
      <c r="AS106" s="62"/>
      <c r="AT106" s="62">
        <v>0.0</v>
      </c>
      <c r="AU106" s="62"/>
      <c r="AV106" s="62">
        <v>15000.0</v>
      </c>
      <c r="AW106" s="62"/>
      <c r="AX106" s="62">
        <v>0.0</v>
      </c>
      <c r="AY106" s="62">
        <v>0.0</v>
      </c>
      <c r="AZ106" s="62">
        <v>0.0</v>
      </c>
    </row>
    <row r="107" ht="22.5" customHeight="1">
      <c r="A107" s="62" t="s">
        <v>234</v>
      </c>
      <c r="B107" s="62" t="s">
        <v>1182</v>
      </c>
      <c r="C107" s="62" t="s">
        <v>1183</v>
      </c>
      <c r="D107" s="62" t="s">
        <v>1163</v>
      </c>
      <c r="E107" s="63">
        <v>8.17206825874</v>
      </c>
      <c r="F107" s="62">
        <v>0.0</v>
      </c>
      <c r="G107" s="71"/>
      <c r="H107" s="71">
        <v>3000.0</v>
      </c>
      <c r="I107" s="71"/>
      <c r="J107" s="71">
        <v>3000.0</v>
      </c>
      <c r="K107" s="64"/>
      <c r="L107" s="64" t="s">
        <v>1092</v>
      </c>
      <c r="M107" s="62"/>
      <c r="N107" s="62">
        <v>1000.0</v>
      </c>
      <c r="O107" s="62"/>
      <c r="P107" s="62">
        <v>0.0</v>
      </c>
      <c r="Q107" s="62"/>
      <c r="R107" s="62">
        <v>0.0</v>
      </c>
      <c r="S107" s="62"/>
      <c r="T107" s="62">
        <v>0.0</v>
      </c>
      <c r="U107" s="62"/>
      <c r="V107" s="62">
        <v>0.0</v>
      </c>
      <c r="W107" s="62"/>
      <c r="X107" s="62">
        <v>1500.0</v>
      </c>
      <c r="Y107" s="62"/>
      <c r="Z107" s="62">
        <v>2500.0</v>
      </c>
      <c r="AA107" s="62"/>
      <c r="AB107" s="62">
        <v>5000.0</v>
      </c>
      <c r="AC107" s="62"/>
      <c r="AD107" s="62">
        <v>0.0</v>
      </c>
      <c r="AE107" s="62"/>
      <c r="AF107" s="62">
        <v>4000.0</v>
      </c>
      <c r="AG107" s="62"/>
      <c r="AH107" s="62">
        <v>1000.0</v>
      </c>
      <c r="AI107" s="62"/>
      <c r="AJ107" s="62">
        <v>1000.0</v>
      </c>
      <c r="AK107" s="62"/>
      <c r="AL107" s="62">
        <v>1000.0</v>
      </c>
      <c r="AM107" s="62"/>
      <c r="AN107" s="62">
        <v>0.0</v>
      </c>
      <c r="AO107" s="62"/>
      <c r="AP107" s="62">
        <v>0.0</v>
      </c>
      <c r="AQ107" s="62"/>
      <c r="AR107" s="62">
        <v>0.0</v>
      </c>
      <c r="AS107" s="62"/>
      <c r="AT107" s="62">
        <v>0.0</v>
      </c>
      <c r="AU107" s="62"/>
      <c r="AV107" s="62">
        <v>0.0</v>
      </c>
      <c r="AW107" s="62"/>
      <c r="AX107" s="62">
        <v>0.0</v>
      </c>
      <c r="AY107" s="62">
        <v>0.0</v>
      </c>
      <c r="AZ107" s="62">
        <v>0.0</v>
      </c>
    </row>
    <row r="108" ht="22.5" customHeight="1">
      <c r="A108" s="62" t="s">
        <v>234</v>
      </c>
      <c r="B108" s="62" t="s">
        <v>1184</v>
      </c>
      <c r="C108" s="62" t="s">
        <v>1185</v>
      </c>
      <c r="D108" s="62" t="s">
        <v>1163</v>
      </c>
      <c r="E108" s="63">
        <v>3.28589956444</v>
      </c>
      <c r="F108" s="62">
        <v>0.0</v>
      </c>
      <c r="G108" s="71"/>
      <c r="H108" s="71">
        <v>3000.0</v>
      </c>
      <c r="I108" s="71"/>
      <c r="J108" s="71">
        <v>3000.0</v>
      </c>
      <c r="K108" s="64"/>
      <c r="L108" s="64" t="s">
        <v>1092</v>
      </c>
      <c r="M108" s="62"/>
      <c r="N108" s="62">
        <v>1000.0</v>
      </c>
      <c r="O108" s="62"/>
      <c r="P108" s="62">
        <v>0.0</v>
      </c>
      <c r="Q108" s="62"/>
      <c r="R108" s="62">
        <v>0.0</v>
      </c>
      <c r="S108" s="62"/>
      <c r="T108" s="62">
        <v>0.0</v>
      </c>
      <c r="U108" s="62"/>
      <c r="V108" s="62">
        <v>0.0</v>
      </c>
      <c r="W108" s="62"/>
      <c r="X108" s="62">
        <v>1500.0</v>
      </c>
      <c r="Y108" s="62"/>
      <c r="Z108" s="62">
        <v>2500.0</v>
      </c>
      <c r="AA108" s="62"/>
      <c r="AB108" s="62">
        <v>5000.0</v>
      </c>
      <c r="AC108" s="62"/>
      <c r="AD108" s="62">
        <v>0.0</v>
      </c>
      <c r="AE108" s="62"/>
      <c r="AF108" s="62">
        <v>1000.0</v>
      </c>
      <c r="AG108" s="62"/>
      <c r="AH108" s="62">
        <v>1000.0</v>
      </c>
      <c r="AI108" s="62"/>
      <c r="AJ108" s="62">
        <v>2000.0</v>
      </c>
      <c r="AK108" s="62"/>
      <c r="AL108" s="62">
        <v>2000.0</v>
      </c>
      <c r="AM108" s="62"/>
      <c r="AN108" s="62">
        <v>0.0</v>
      </c>
      <c r="AO108" s="62"/>
      <c r="AP108" s="62">
        <v>0.0</v>
      </c>
      <c r="AQ108" s="62"/>
      <c r="AR108" s="62">
        <v>0.0</v>
      </c>
      <c r="AS108" s="62"/>
      <c r="AT108" s="62">
        <v>0.0</v>
      </c>
      <c r="AU108" s="62"/>
      <c r="AV108" s="62">
        <v>0.0</v>
      </c>
      <c r="AW108" s="62"/>
      <c r="AX108" s="62">
        <v>0.0</v>
      </c>
      <c r="AY108" s="62">
        <v>0.0</v>
      </c>
      <c r="AZ108" s="62">
        <v>0.0</v>
      </c>
    </row>
    <row r="109" ht="22.5" customHeight="1">
      <c r="A109" s="62" t="s">
        <v>234</v>
      </c>
      <c r="B109" s="62" t="s">
        <v>1186</v>
      </c>
      <c r="C109" s="62" t="s">
        <v>1187</v>
      </c>
      <c r="D109" s="62" t="s">
        <v>1163</v>
      </c>
      <c r="E109" s="63">
        <v>4.25885600318</v>
      </c>
      <c r="F109" s="62">
        <v>0.0</v>
      </c>
      <c r="G109" s="71"/>
      <c r="H109" s="71">
        <v>3000.0</v>
      </c>
      <c r="I109" s="71"/>
      <c r="J109" s="71">
        <v>3000.0</v>
      </c>
      <c r="K109" s="64"/>
      <c r="L109" s="64" t="s">
        <v>1092</v>
      </c>
      <c r="M109" s="62"/>
      <c r="N109" s="62">
        <v>1000.0</v>
      </c>
      <c r="O109" s="62"/>
      <c r="P109" s="62">
        <v>0.0</v>
      </c>
      <c r="Q109" s="62"/>
      <c r="R109" s="62">
        <v>0.0</v>
      </c>
      <c r="S109" s="62"/>
      <c r="T109" s="62">
        <v>0.0</v>
      </c>
      <c r="U109" s="62"/>
      <c r="V109" s="62">
        <v>0.0</v>
      </c>
      <c r="W109" s="62"/>
      <c r="X109" s="62">
        <v>1500.0</v>
      </c>
      <c r="Y109" s="62"/>
      <c r="Z109" s="62">
        <v>2500.0</v>
      </c>
      <c r="AA109" s="62"/>
      <c r="AB109" s="62">
        <v>5000.0</v>
      </c>
      <c r="AC109" s="62"/>
      <c r="AD109" s="62">
        <v>0.0</v>
      </c>
      <c r="AE109" s="62"/>
      <c r="AF109" s="62">
        <v>1000.0</v>
      </c>
      <c r="AG109" s="62"/>
      <c r="AH109" s="62">
        <v>1000.0</v>
      </c>
      <c r="AI109" s="62"/>
      <c r="AJ109" s="62">
        <v>0.0</v>
      </c>
      <c r="AK109" s="62"/>
      <c r="AL109" s="62">
        <v>0.0</v>
      </c>
      <c r="AM109" s="62"/>
      <c r="AN109" s="62">
        <v>0.0</v>
      </c>
      <c r="AO109" s="62"/>
      <c r="AP109" s="62">
        <v>0.0</v>
      </c>
      <c r="AQ109" s="62"/>
      <c r="AR109" s="62">
        <v>0.0</v>
      </c>
      <c r="AS109" s="62"/>
      <c r="AT109" s="62">
        <v>0.0</v>
      </c>
      <c r="AU109" s="62"/>
      <c r="AV109" s="62">
        <v>0.0</v>
      </c>
      <c r="AW109" s="62"/>
      <c r="AX109" s="62">
        <v>0.0</v>
      </c>
      <c r="AY109" s="62">
        <v>0.0</v>
      </c>
      <c r="AZ109" s="62">
        <v>0.0</v>
      </c>
    </row>
    <row r="110" ht="22.5" customHeight="1">
      <c r="A110" s="62" t="s">
        <v>246</v>
      </c>
      <c r="B110" s="62" t="s">
        <v>1161</v>
      </c>
      <c r="C110" s="62" t="s">
        <v>1162</v>
      </c>
      <c r="D110" s="62" t="s">
        <v>1163</v>
      </c>
      <c r="E110" s="63">
        <v>15.9623321182</v>
      </c>
      <c r="F110" s="62">
        <v>0.0</v>
      </c>
      <c r="G110" s="71"/>
      <c r="H110" s="71">
        <v>0.0</v>
      </c>
      <c r="I110" s="71"/>
      <c r="J110" s="71">
        <v>0.0</v>
      </c>
      <c r="K110" s="64"/>
      <c r="L110" s="64" t="s">
        <v>1092</v>
      </c>
      <c r="M110" s="62"/>
      <c r="N110" s="62">
        <v>0.0</v>
      </c>
      <c r="O110" s="62"/>
      <c r="P110" s="62">
        <v>0.0</v>
      </c>
      <c r="Q110" s="62"/>
      <c r="R110" s="62">
        <v>0.0</v>
      </c>
      <c r="S110" s="62"/>
      <c r="T110" s="62">
        <v>5000.0</v>
      </c>
      <c r="U110" s="62"/>
      <c r="V110" s="62">
        <v>0.0</v>
      </c>
      <c r="W110" s="62"/>
      <c r="X110" s="62">
        <v>0.0</v>
      </c>
      <c r="Y110" s="62"/>
      <c r="Z110" s="62">
        <v>0.0</v>
      </c>
      <c r="AA110" s="62"/>
      <c r="AB110" s="62">
        <v>0.0</v>
      </c>
      <c r="AC110" s="62"/>
      <c r="AD110" s="62">
        <v>0.0</v>
      </c>
      <c r="AE110" s="62"/>
      <c r="AF110" s="62">
        <v>1000.0</v>
      </c>
      <c r="AG110" s="62"/>
      <c r="AH110" s="62">
        <v>2000.0</v>
      </c>
      <c r="AI110" s="62"/>
      <c r="AJ110" s="62">
        <v>2000.0</v>
      </c>
      <c r="AK110" s="62"/>
      <c r="AL110" s="62">
        <v>0.0</v>
      </c>
      <c r="AM110" s="62"/>
      <c r="AN110" s="62">
        <v>0.0</v>
      </c>
      <c r="AO110" s="62"/>
      <c r="AP110" s="62">
        <v>0.0</v>
      </c>
      <c r="AQ110" s="62"/>
      <c r="AR110" s="62">
        <v>0.0</v>
      </c>
      <c r="AS110" s="62"/>
      <c r="AT110" s="62">
        <v>0.0</v>
      </c>
      <c r="AU110" s="62"/>
      <c r="AV110" s="62">
        <v>0.0</v>
      </c>
      <c r="AW110" s="62"/>
      <c r="AX110" s="62">
        <v>0.0</v>
      </c>
      <c r="AY110" s="62">
        <v>0.0</v>
      </c>
      <c r="AZ110" s="62">
        <v>0.0</v>
      </c>
    </row>
    <row r="111" ht="22.5" customHeight="1">
      <c r="A111" s="62" t="s">
        <v>246</v>
      </c>
      <c r="B111" s="62" t="s">
        <v>1137</v>
      </c>
      <c r="C111" s="62" t="s">
        <v>1138</v>
      </c>
      <c r="D111" s="62">
        <v>2026.0</v>
      </c>
      <c r="E111" s="63">
        <v>11.7990407647</v>
      </c>
      <c r="F111" s="62">
        <v>0.0</v>
      </c>
      <c r="G111" s="71"/>
      <c r="H111" s="71">
        <v>0.0</v>
      </c>
      <c r="I111" s="71"/>
      <c r="J111" s="71">
        <v>0.0</v>
      </c>
      <c r="K111" s="64"/>
      <c r="L111" s="64" t="s">
        <v>1092</v>
      </c>
      <c r="M111" s="62"/>
      <c r="N111" s="62">
        <v>0.0</v>
      </c>
      <c r="O111" s="62"/>
      <c r="P111" s="62">
        <v>0.0</v>
      </c>
      <c r="Q111" s="62"/>
      <c r="R111" s="62">
        <v>0.0</v>
      </c>
      <c r="S111" s="62"/>
      <c r="T111" s="62">
        <v>5000.0</v>
      </c>
      <c r="U111" s="62"/>
      <c r="V111" s="62">
        <v>0.0</v>
      </c>
      <c r="W111" s="62"/>
      <c r="X111" s="62">
        <v>0.0</v>
      </c>
      <c r="Y111" s="62"/>
      <c r="Z111" s="62">
        <v>0.0</v>
      </c>
      <c r="AA111" s="62"/>
      <c r="AB111" s="62">
        <v>0.0</v>
      </c>
      <c r="AC111" s="62"/>
      <c r="AD111" s="62">
        <v>0.0</v>
      </c>
      <c r="AE111" s="62"/>
      <c r="AF111" s="62">
        <v>0.0</v>
      </c>
      <c r="AG111" s="62"/>
      <c r="AH111" s="62">
        <v>0.0</v>
      </c>
      <c r="AI111" s="62"/>
      <c r="AJ111" s="62">
        <v>0.0</v>
      </c>
      <c r="AK111" s="62"/>
      <c r="AL111" s="62">
        <v>3000.0</v>
      </c>
      <c r="AM111" s="62"/>
      <c r="AN111" s="62">
        <v>5000.0</v>
      </c>
      <c r="AO111" s="62"/>
      <c r="AP111" s="62">
        <v>6000.0</v>
      </c>
      <c r="AQ111" s="62"/>
      <c r="AR111" s="62">
        <v>4000.0</v>
      </c>
      <c r="AS111" s="62"/>
      <c r="AT111" s="62">
        <v>0.0</v>
      </c>
      <c r="AU111" s="62"/>
      <c r="AV111" s="62">
        <v>0.0</v>
      </c>
      <c r="AW111" s="62"/>
      <c r="AX111" s="62">
        <v>0.0</v>
      </c>
      <c r="AY111" s="62">
        <v>0.0</v>
      </c>
      <c r="AZ111" s="62">
        <v>0.0</v>
      </c>
    </row>
    <row r="112" ht="22.5" customHeight="1">
      <c r="A112" s="62" t="s">
        <v>246</v>
      </c>
      <c r="B112" s="62" t="s">
        <v>1166</v>
      </c>
      <c r="C112" s="62" t="s">
        <v>1167</v>
      </c>
      <c r="D112" s="62" t="s">
        <v>1163</v>
      </c>
      <c r="E112" s="63">
        <v>27.4170248389</v>
      </c>
      <c r="F112" s="62">
        <v>0.0</v>
      </c>
      <c r="G112" s="71"/>
      <c r="H112" s="71">
        <v>0.0</v>
      </c>
      <c r="I112" s="71"/>
      <c r="J112" s="71">
        <v>0.0</v>
      </c>
      <c r="K112" s="64"/>
      <c r="L112" s="64" t="s">
        <v>1092</v>
      </c>
      <c r="M112" s="62"/>
      <c r="N112" s="62">
        <v>0.0</v>
      </c>
      <c r="O112" s="62"/>
      <c r="P112" s="62">
        <v>0.0</v>
      </c>
      <c r="Q112" s="62"/>
      <c r="R112" s="62">
        <v>0.0</v>
      </c>
      <c r="S112" s="62"/>
      <c r="T112" s="62">
        <v>5000.0</v>
      </c>
      <c r="U112" s="62"/>
      <c r="V112" s="62">
        <v>0.0</v>
      </c>
      <c r="W112" s="62"/>
      <c r="X112" s="62">
        <v>0.0</v>
      </c>
      <c r="Y112" s="62"/>
      <c r="Z112" s="62">
        <v>0.0</v>
      </c>
      <c r="AA112" s="62"/>
      <c r="AB112" s="62">
        <v>0.0</v>
      </c>
      <c r="AC112" s="62"/>
      <c r="AD112" s="62">
        <v>0.0</v>
      </c>
      <c r="AE112" s="62"/>
      <c r="AF112" s="62">
        <v>2000.0</v>
      </c>
      <c r="AG112" s="62"/>
      <c r="AH112" s="62">
        <v>1000.0</v>
      </c>
      <c r="AI112" s="62"/>
      <c r="AJ112" s="62">
        <v>0.0</v>
      </c>
      <c r="AK112" s="62"/>
      <c r="AL112" s="62">
        <v>0.0</v>
      </c>
      <c r="AM112" s="62"/>
      <c r="AN112" s="62">
        <v>0.0</v>
      </c>
      <c r="AO112" s="62"/>
      <c r="AP112" s="62">
        <v>0.0</v>
      </c>
      <c r="AQ112" s="62"/>
      <c r="AR112" s="62">
        <v>0.0</v>
      </c>
      <c r="AS112" s="62"/>
      <c r="AT112" s="62">
        <v>0.0</v>
      </c>
      <c r="AU112" s="62"/>
      <c r="AV112" s="62">
        <v>0.0</v>
      </c>
      <c r="AW112" s="62"/>
      <c r="AX112" s="62">
        <v>0.0</v>
      </c>
      <c r="AY112" s="62">
        <v>0.0</v>
      </c>
      <c r="AZ112" s="62">
        <v>0.0</v>
      </c>
    </row>
    <row r="113" ht="22.5" customHeight="1">
      <c r="A113" s="62" t="s">
        <v>246</v>
      </c>
      <c r="B113" s="62" t="s">
        <v>1111</v>
      </c>
      <c r="C113" s="62" t="s">
        <v>1112</v>
      </c>
      <c r="D113" s="62">
        <v>2023.0</v>
      </c>
      <c r="E113" s="63">
        <v>8.68807045352</v>
      </c>
      <c r="F113" s="62">
        <v>0.0</v>
      </c>
      <c r="G113" s="71"/>
      <c r="H113" s="71">
        <v>0.0</v>
      </c>
      <c r="I113" s="71"/>
      <c r="J113" s="71">
        <v>0.0</v>
      </c>
      <c r="K113" s="64"/>
      <c r="L113" s="64" t="s">
        <v>1092</v>
      </c>
      <c r="M113" s="62"/>
      <c r="N113" s="62">
        <v>0.0</v>
      </c>
      <c r="O113" s="62"/>
      <c r="P113" s="62">
        <v>0.0</v>
      </c>
      <c r="Q113" s="62"/>
      <c r="R113" s="62">
        <v>0.0</v>
      </c>
      <c r="S113" s="62"/>
      <c r="T113" s="62">
        <v>0.0</v>
      </c>
      <c r="U113" s="62"/>
      <c r="V113" s="62">
        <v>0.0</v>
      </c>
      <c r="W113" s="62"/>
      <c r="X113" s="62">
        <v>0.0</v>
      </c>
      <c r="Y113" s="62"/>
      <c r="Z113" s="62">
        <v>0.0</v>
      </c>
      <c r="AA113" s="62"/>
      <c r="AB113" s="62">
        <v>0.0</v>
      </c>
      <c r="AC113" s="62"/>
      <c r="AD113" s="62">
        <v>0.0</v>
      </c>
      <c r="AE113" s="62"/>
      <c r="AF113" s="62">
        <v>0.0</v>
      </c>
      <c r="AG113" s="62"/>
      <c r="AH113" s="62">
        <v>0.0</v>
      </c>
      <c r="AI113" s="62"/>
      <c r="AJ113" s="62">
        <v>0.0</v>
      </c>
      <c r="AK113" s="62"/>
      <c r="AL113" s="62">
        <v>0.0</v>
      </c>
      <c r="AM113" s="62"/>
      <c r="AN113" s="62">
        <v>0.0</v>
      </c>
      <c r="AO113" s="62"/>
      <c r="AP113" s="62">
        <v>0.0</v>
      </c>
      <c r="AQ113" s="62"/>
      <c r="AR113" s="62">
        <v>0.0</v>
      </c>
      <c r="AS113" s="62"/>
      <c r="AT113" s="62">
        <v>0.0</v>
      </c>
      <c r="AU113" s="62"/>
      <c r="AV113" s="62">
        <v>2000.0</v>
      </c>
      <c r="AW113" s="62"/>
      <c r="AX113" s="62">
        <v>3000.0</v>
      </c>
      <c r="AY113" s="62">
        <v>0.0</v>
      </c>
      <c r="AZ113" s="62">
        <v>0.0</v>
      </c>
    </row>
    <row r="114" ht="22.5" customHeight="1">
      <c r="A114" s="65"/>
      <c r="B114" s="65"/>
      <c r="C114" s="65"/>
      <c r="D114" s="66">
        <f>SUM(Opbrengs_per_hektaar_2[GEPLANT])</f>
        <v>72868</v>
      </c>
      <c r="E114" s="67">
        <f>SUM(Opbrengs_per_hektaar_2[HEKTAAR])</f>
        <v>1049.350267</v>
      </c>
      <c r="F114" s="65"/>
      <c r="G114" s="65"/>
      <c r="H114" s="68">
        <f>SUM(Opbrengs_per_hektaar_2[2005
OESSKAT])</f>
        <v>91000</v>
      </c>
      <c r="I114" s="65"/>
      <c r="J114" s="68">
        <f>SUM(Opbrengs_per_hektaar_2[2006
OESSKAT])</f>
        <v>286500</v>
      </c>
      <c r="K114" s="65"/>
      <c r="L114" s="68">
        <f>SUM(Opbrengs_per_hektaar_2[2007_OESSKAT])</f>
        <v>0</v>
      </c>
      <c r="M114" s="65"/>
      <c r="N114" s="66">
        <f>SUM(Opbrengs_per_hektaar_2[2008_OESSKAT])</f>
        <v>310000</v>
      </c>
      <c r="O114" s="65"/>
      <c r="P114" s="66">
        <f>SUM(Opbrengs_per_hektaar_2[2009_OESSKAT])</f>
        <v>189000</v>
      </c>
      <c r="Q114" s="65"/>
      <c r="R114" s="66">
        <f>SUM(Opbrengs_per_hektaar_2[2010_OESSKAT])</f>
        <v>132000</v>
      </c>
      <c r="S114" s="65"/>
      <c r="T114" s="66">
        <f>SUM(Opbrengs_per_hektaar_2[2011_OESSKAT])</f>
        <v>236000</v>
      </c>
      <c r="U114" s="65"/>
      <c r="V114" s="66">
        <f>SUM(Opbrengs_per_hektaar_2[2012_OESSKAT])</f>
        <v>172000</v>
      </c>
      <c r="W114" s="65"/>
      <c r="X114" s="66">
        <f>SUM(Opbrengs_per_hektaar_2[2013_OESSKAT])</f>
        <v>142500</v>
      </c>
      <c r="Y114" s="65"/>
      <c r="Z114" s="66">
        <f>SUM(Opbrengs_per_hektaar_2[2014_OESSKAT])</f>
        <v>163500</v>
      </c>
      <c r="AA114" s="65"/>
      <c r="AB114" s="66">
        <f>SUM(Opbrengs_per_hektaar_2[2015_OESSKAT])</f>
        <v>202000</v>
      </c>
      <c r="AC114" s="65"/>
      <c r="AD114" s="66">
        <f>SUM(Opbrengs_per_hektaar_2[2016_OESSKAT])</f>
        <v>132500</v>
      </c>
      <c r="AE114" s="65"/>
      <c r="AF114" s="66">
        <f>SUM(Opbrengs_per_hektaar_2[2017_OESSKAT])</f>
        <v>372800</v>
      </c>
      <c r="AG114" s="65"/>
      <c r="AH114" s="66">
        <f>SUM(Opbrengs_per_hektaar_2[2018_OESSKAT])</f>
        <v>216003</v>
      </c>
      <c r="AI114" s="65"/>
      <c r="AJ114" s="66">
        <f>SUM(Opbrengs_per_hektaar_2[2019_OESSKAT])</f>
        <v>195200</v>
      </c>
      <c r="AK114" s="65"/>
      <c r="AL114" s="66">
        <f>SUM(Opbrengs_per_hektaar_2[2020_OESSKAT])</f>
        <v>209200</v>
      </c>
      <c r="AM114" s="65"/>
      <c r="AN114" s="66">
        <f>SUM(Opbrengs_per_hektaar_2[2021_OESSKAT])</f>
        <v>207000</v>
      </c>
      <c r="AO114" s="65"/>
      <c r="AP114" s="66">
        <f>SUM(Opbrengs_per_hektaar_2[2022_OESSKAT])</f>
        <v>186000</v>
      </c>
      <c r="AQ114" s="65"/>
      <c r="AR114" s="66">
        <f>SUM(Opbrengs_per_hektaar_2[2023_OESSKAT])</f>
        <v>120000</v>
      </c>
      <c r="AS114" s="65"/>
      <c r="AT114" s="66">
        <f>SUM(Opbrengs_per_hektaar_2[2024_OESSKAT])</f>
        <v>192000</v>
      </c>
      <c r="AU114" s="65"/>
      <c r="AV114" s="66">
        <f>SUM(Opbrengs_per_hektaar_2[2025_OESSKAT])</f>
        <v>231700</v>
      </c>
      <c r="AW114" s="65"/>
      <c r="AX114" s="66">
        <f>SUM(Opbrengs_per_hektaar_2[2026_OESSKAT])</f>
        <v>178000</v>
      </c>
      <c r="AY114" s="66">
        <f>SUM(Opbrengs_per_hektaar_2[2027_OESSKAT])</f>
        <v>93000</v>
      </c>
      <c r="AZ114" s="66">
        <f>SUM(Opbrengs_per_hektaar_2[2028_OESSKAT])</f>
        <v>34000</v>
      </c>
    </row>
    <row r="115">
      <c r="A115" s="57"/>
      <c r="B115" s="57"/>
      <c r="C115" s="57"/>
      <c r="D115" s="57"/>
      <c r="E115" s="58"/>
      <c r="F115" s="57"/>
      <c r="G115" s="59"/>
      <c r="H115" s="59"/>
      <c r="I115" s="59"/>
      <c r="J115" s="59"/>
      <c r="K115" s="59"/>
      <c r="L115" s="59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</row>
    <row r="116">
      <c r="A116" s="57"/>
      <c r="B116" s="57"/>
      <c r="C116" s="57"/>
      <c r="D116" s="57"/>
      <c r="E116" s="58"/>
      <c r="F116" s="57"/>
      <c r="G116" s="59"/>
      <c r="H116" s="59"/>
      <c r="I116" s="59"/>
      <c r="J116" s="59"/>
      <c r="K116" s="59"/>
      <c r="L116" s="59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</row>
    <row r="117">
      <c r="A117" s="57"/>
      <c r="B117" s="57"/>
      <c r="C117" s="57"/>
      <c r="D117" s="57"/>
      <c r="E117" s="58"/>
      <c r="F117" s="57"/>
      <c r="G117" s="59"/>
      <c r="H117" s="59"/>
      <c r="I117" s="59"/>
      <c r="J117" s="59"/>
      <c r="K117" s="59"/>
      <c r="L117" s="59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</row>
    <row r="118">
      <c r="A118" s="57"/>
      <c r="B118" s="57"/>
      <c r="C118" s="57"/>
      <c r="D118" s="57"/>
      <c r="E118" s="58"/>
      <c r="F118" s="57"/>
      <c r="G118" s="59"/>
      <c r="H118" s="59"/>
      <c r="I118" s="59"/>
      <c r="J118" s="59"/>
      <c r="K118" s="59"/>
      <c r="L118" s="59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</row>
    <row r="119">
      <c r="A119" s="57"/>
      <c r="B119" s="57"/>
      <c r="C119" s="57"/>
      <c r="D119" s="57"/>
      <c r="E119" s="58"/>
      <c r="F119" s="57"/>
      <c r="G119" s="59"/>
      <c r="H119" s="59"/>
      <c r="I119" s="59"/>
      <c r="J119" s="59"/>
      <c r="K119" s="59"/>
      <c r="L119" s="59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</row>
    <row r="120">
      <c r="A120" s="57"/>
      <c r="B120" s="57"/>
      <c r="C120" s="57"/>
      <c r="D120" s="57"/>
      <c r="E120" s="58"/>
      <c r="F120" s="57"/>
      <c r="G120" s="59"/>
      <c r="H120" s="59"/>
      <c r="I120" s="59"/>
      <c r="J120" s="59"/>
      <c r="K120" s="59"/>
      <c r="L120" s="59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</row>
    <row r="121">
      <c r="A121" s="57"/>
      <c r="B121" s="57"/>
      <c r="C121" s="57"/>
      <c r="D121" s="57"/>
      <c r="E121" s="58"/>
      <c r="F121" s="57"/>
      <c r="G121" s="59"/>
      <c r="H121" s="59"/>
      <c r="I121" s="59"/>
      <c r="J121" s="59"/>
      <c r="K121" s="59"/>
      <c r="L121" s="59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</row>
    <row r="122">
      <c r="A122" s="57"/>
      <c r="B122" s="57"/>
      <c r="C122" s="57"/>
      <c r="D122" s="57"/>
      <c r="E122" s="58"/>
      <c r="F122" s="57"/>
      <c r="G122" s="59"/>
      <c r="H122" s="59"/>
      <c r="I122" s="59"/>
      <c r="J122" s="59"/>
      <c r="K122" s="59"/>
      <c r="L122" s="59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</row>
    <row r="123">
      <c r="A123" s="57"/>
      <c r="B123" s="57"/>
      <c r="C123" s="57"/>
      <c r="D123" s="57"/>
      <c r="E123" s="58"/>
      <c r="F123" s="57"/>
      <c r="G123" s="59"/>
      <c r="H123" s="59"/>
      <c r="I123" s="59"/>
      <c r="J123" s="59"/>
      <c r="K123" s="59"/>
      <c r="L123" s="59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</row>
    <row r="124">
      <c r="A124" s="57"/>
      <c r="B124" s="57"/>
      <c r="C124" s="57"/>
      <c r="D124" s="57"/>
      <c r="E124" s="58"/>
      <c r="F124" s="57"/>
      <c r="G124" s="59"/>
      <c r="H124" s="59"/>
      <c r="I124" s="59"/>
      <c r="J124" s="59"/>
      <c r="K124" s="59"/>
      <c r="L124" s="59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</row>
    <row r="125">
      <c r="A125" s="57"/>
      <c r="B125" s="57"/>
      <c r="C125" s="57"/>
      <c r="D125" s="57"/>
      <c r="E125" s="58"/>
      <c r="F125" s="57"/>
      <c r="G125" s="59"/>
      <c r="H125" s="59"/>
      <c r="I125" s="59"/>
      <c r="J125" s="59"/>
      <c r="K125" s="59"/>
      <c r="L125" s="59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</row>
    <row r="126">
      <c r="A126" s="57"/>
      <c r="B126" s="57"/>
      <c r="C126" s="57"/>
      <c r="D126" s="57"/>
      <c r="E126" s="58"/>
      <c r="F126" s="57"/>
      <c r="G126" s="59"/>
      <c r="H126" s="59"/>
      <c r="I126" s="59"/>
      <c r="J126" s="59"/>
      <c r="K126" s="59"/>
      <c r="L126" s="59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</row>
    <row r="127">
      <c r="A127" s="57"/>
      <c r="B127" s="57"/>
      <c r="C127" s="57"/>
      <c r="D127" s="57"/>
      <c r="E127" s="58"/>
      <c r="F127" s="57"/>
      <c r="G127" s="59"/>
      <c r="H127" s="59"/>
      <c r="I127" s="59"/>
      <c r="J127" s="59"/>
      <c r="K127" s="59"/>
      <c r="L127" s="59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</row>
    <row r="128">
      <c r="A128" s="57"/>
      <c r="B128" s="57"/>
      <c r="C128" s="57"/>
      <c r="D128" s="57"/>
      <c r="E128" s="58"/>
      <c r="F128" s="57"/>
      <c r="G128" s="59"/>
      <c r="H128" s="59"/>
      <c r="I128" s="59"/>
      <c r="J128" s="59"/>
      <c r="K128" s="59"/>
      <c r="L128" s="59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</row>
    <row r="129">
      <c r="A129" s="57"/>
      <c r="B129" s="57"/>
      <c r="C129" s="57"/>
      <c r="D129" s="57"/>
      <c r="E129" s="58"/>
      <c r="F129" s="57"/>
      <c r="G129" s="59"/>
      <c r="H129" s="59"/>
      <c r="I129" s="59"/>
      <c r="J129" s="59"/>
      <c r="K129" s="59"/>
      <c r="L129" s="59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</row>
    <row r="130">
      <c r="A130" s="57"/>
      <c r="B130" s="57"/>
      <c r="C130" s="57"/>
      <c r="D130" s="57"/>
      <c r="E130" s="58"/>
      <c r="F130" s="57"/>
      <c r="G130" s="59"/>
      <c r="H130" s="59"/>
      <c r="I130" s="59"/>
      <c r="J130" s="59"/>
      <c r="K130" s="59"/>
      <c r="L130" s="59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</row>
    <row r="131">
      <c r="A131" s="57"/>
      <c r="B131" s="57"/>
      <c r="C131" s="57"/>
      <c r="D131" s="57"/>
      <c r="E131" s="58"/>
      <c r="F131" s="57"/>
      <c r="G131" s="59"/>
      <c r="H131" s="59"/>
      <c r="I131" s="59"/>
      <c r="J131" s="59"/>
      <c r="K131" s="59"/>
      <c r="L131" s="59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</row>
    <row r="132">
      <c r="A132" s="57"/>
      <c r="B132" s="57"/>
      <c r="C132" s="57"/>
      <c r="D132" s="57"/>
      <c r="E132" s="58"/>
      <c r="F132" s="57"/>
      <c r="G132" s="59"/>
      <c r="H132" s="59"/>
      <c r="I132" s="59"/>
      <c r="J132" s="59"/>
      <c r="K132" s="59"/>
      <c r="L132" s="59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</row>
    <row r="133">
      <c r="A133" s="57"/>
      <c r="B133" s="57"/>
      <c r="C133" s="57"/>
      <c r="D133" s="57"/>
      <c r="E133" s="58"/>
      <c r="F133" s="57"/>
      <c r="G133" s="59"/>
      <c r="H133" s="59"/>
      <c r="I133" s="59"/>
      <c r="J133" s="59"/>
      <c r="K133" s="59"/>
      <c r="L133" s="59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</row>
    <row r="134">
      <c r="A134" s="57"/>
      <c r="B134" s="57"/>
      <c r="C134" s="57"/>
      <c r="D134" s="57"/>
      <c r="E134" s="58"/>
      <c r="F134" s="57"/>
      <c r="G134" s="59"/>
      <c r="H134" s="59"/>
      <c r="I134" s="59"/>
      <c r="J134" s="59"/>
      <c r="K134" s="59"/>
      <c r="L134" s="59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</row>
    <row r="135">
      <c r="A135" s="57"/>
      <c r="B135" s="57"/>
      <c r="C135" s="57"/>
      <c r="D135" s="57"/>
      <c r="E135" s="58"/>
      <c r="F135" s="57"/>
      <c r="G135" s="59"/>
      <c r="H135" s="59"/>
      <c r="I135" s="59"/>
      <c r="J135" s="59"/>
      <c r="K135" s="59"/>
      <c r="L135" s="59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</row>
    <row r="136">
      <c r="A136" s="57"/>
      <c r="B136" s="57"/>
      <c r="C136" s="57"/>
      <c r="D136" s="57"/>
      <c r="E136" s="58"/>
      <c r="F136" s="57"/>
      <c r="G136" s="59"/>
      <c r="H136" s="59"/>
      <c r="I136" s="59"/>
      <c r="J136" s="59"/>
      <c r="K136" s="59"/>
      <c r="L136" s="59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</row>
    <row r="137">
      <c r="A137" s="57"/>
      <c r="B137" s="57"/>
      <c r="C137" s="57"/>
      <c r="D137" s="57"/>
      <c r="E137" s="58"/>
      <c r="F137" s="57"/>
      <c r="G137" s="59"/>
      <c r="H137" s="59"/>
      <c r="I137" s="59"/>
      <c r="J137" s="59"/>
      <c r="K137" s="59"/>
      <c r="L137" s="59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</row>
    <row r="138">
      <c r="A138" s="57"/>
      <c r="B138" s="57"/>
      <c r="C138" s="57"/>
      <c r="D138" s="57"/>
      <c r="E138" s="58"/>
      <c r="F138" s="57"/>
      <c r="G138" s="59"/>
      <c r="H138" s="59"/>
      <c r="I138" s="59"/>
      <c r="J138" s="59"/>
      <c r="K138" s="59"/>
      <c r="L138" s="59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</row>
    <row r="139">
      <c r="A139" s="57"/>
      <c r="B139" s="57"/>
      <c r="C139" s="57"/>
      <c r="D139" s="57"/>
      <c r="E139" s="58"/>
      <c r="F139" s="57"/>
      <c r="G139" s="59"/>
      <c r="H139" s="59"/>
      <c r="I139" s="59"/>
      <c r="J139" s="59"/>
      <c r="K139" s="59"/>
      <c r="L139" s="59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</row>
    <row r="140">
      <c r="A140" s="57"/>
      <c r="B140" s="57"/>
      <c r="C140" s="57"/>
      <c r="D140" s="57"/>
      <c r="E140" s="58"/>
      <c r="F140" s="57"/>
      <c r="G140" s="59"/>
      <c r="H140" s="59"/>
      <c r="I140" s="59"/>
      <c r="J140" s="59"/>
      <c r="K140" s="59"/>
      <c r="L140" s="59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</row>
    <row r="141">
      <c r="A141" s="57"/>
      <c r="B141" s="57"/>
      <c r="C141" s="57"/>
      <c r="D141" s="57"/>
      <c r="E141" s="58"/>
      <c r="F141" s="57"/>
      <c r="G141" s="59"/>
      <c r="H141" s="59"/>
      <c r="I141" s="59"/>
      <c r="J141" s="59"/>
      <c r="K141" s="59"/>
      <c r="L141" s="59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</row>
    <row r="142">
      <c r="A142" s="57"/>
      <c r="B142" s="57"/>
      <c r="C142" s="57"/>
      <c r="D142" s="57"/>
      <c r="E142" s="58"/>
      <c r="F142" s="57"/>
      <c r="G142" s="59"/>
      <c r="H142" s="59"/>
      <c r="I142" s="59"/>
      <c r="J142" s="59"/>
      <c r="K142" s="59"/>
      <c r="L142" s="59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</row>
    <row r="143">
      <c r="A143" s="57"/>
      <c r="B143" s="57"/>
      <c r="C143" s="57"/>
      <c r="D143" s="57"/>
      <c r="E143" s="58"/>
      <c r="F143" s="57"/>
      <c r="G143" s="59"/>
      <c r="H143" s="59"/>
      <c r="I143" s="59"/>
      <c r="J143" s="59"/>
      <c r="K143" s="59"/>
      <c r="L143" s="59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</row>
    <row r="144">
      <c r="A144" s="57"/>
      <c r="B144" s="57"/>
      <c r="C144" s="57"/>
      <c r="D144" s="57"/>
      <c r="E144" s="58"/>
      <c r="F144" s="57"/>
      <c r="G144" s="59"/>
      <c r="H144" s="59"/>
      <c r="I144" s="59"/>
      <c r="J144" s="59"/>
      <c r="K144" s="59"/>
      <c r="L144" s="59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</row>
    <row r="145">
      <c r="A145" s="57"/>
      <c r="B145" s="57"/>
      <c r="C145" s="57"/>
      <c r="D145" s="57"/>
      <c r="E145" s="58"/>
      <c r="F145" s="57"/>
      <c r="G145" s="59"/>
      <c r="H145" s="59"/>
      <c r="I145" s="59"/>
      <c r="J145" s="59"/>
      <c r="K145" s="59"/>
      <c r="L145" s="59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</row>
    <row r="146">
      <c r="A146" s="57"/>
      <c r="B146" s="57"/>
      <c r="C146" s="57"/>
      <c r="D146" s="57"/>
      <c r="E146" s="58"/>
      <c r="F146" s="57"/>
      <c r="G146" s="59"/>
      <c r="H146" s="59"/>
      <c r="I146" s="59"/>
      <c r="J146" s="59"/>
      <c r="K146" s="59"/>
      <c r="L146" s="59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</row>
    <row r="147">
      <c r="A147" s="57"/>
      <c r="B147" s="57"/>
      <c r="C147" s="57"/>
      <c r="D147" s="57"/>
      <c r="E147" s="58"/>
      <c r="F147" s="57"/>
      <c r="G147" s="59"/>
      <c r="H147" s="59"/>
      <c r="I147" s="59"/>
      <c r="J147" s="59"/>
      <c r="K147" s="59"/>
      <c r="L147" s="59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</row>
    <row r="148">
      <c r="A148" s="57"/>
      <c r="B148" s="57"/>
      <c r="C148" s="57"/>
      <c r="D148" s="57"/>
      <c r="E148" s="58"/>
      <c r="F148" s="57"/>
      <c r="G148" s="59"/>
      <c r="H148" s="59"/>
      <c r="I148" s="59"/>
      <c r="J148" s="59"/>
      <c r="K148" s="59"/>
      <c r="L148" s="59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</row>
    <row r="149">
      <c r="A149" s="57"/>
      <c r="B149" s="57"/>
      <c r="C149" s="57"/>
      <c r="D149" s="57"/>
      <c r="E149" s="58"/>
      <c r="F149" s="57"/>
      <c r="G149" s="59"/>
      <c r="H149" s="59"/>
      <c r="I149" s="59"/>
      <c r="J149" s="59"/>
      <c r="K149" s="59"/>
      <c r="L149" s="59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</row>
    <row r="150">
      <c r="A150" s="57"/>
      <c r="B150" s="57"/>
      <c r="C150" s="57"/>
      <c r="D150" s="57"/>
      <c r="E150" s="58"/>
      <c r="F150" s="57"/>
      <c r="G150" s="59"/>
      <c r="H150" s="59"/>
      <c r="I150" s="59"/>
      <c r="J150" s="59"/>
      <c r="K150" s="59"/>
      <c r="L150" s="59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</row>
    <row r="151">
      <c r="A151" s="57"/>
      <c r="B151" s="57"/>
      <c r="C151" s="57"/>
      <c r="D151" s="57"/>
      <c r="E151" s="58"/>
      <c r="F151" s="57"/>
      <c r="G151" s="59"/>
      <c r="H151" s="59"/>
      <c r="I151" s="59"/>
      <c r="J151" s="59"/>
      <c r="K151" s="59"/>
      <c r="L151" s="59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</row>
    <row r="152">
      <c r="A152" s="57"/>
      <c r="B152" s="57"/>
      <c r="C152" s="57"/>
      <c r="D152" s="57"/>
      <c r="E152" s="58"/>
      <c r="F152" s="57"/>
      <c r="G152" s="59"/>
      <c r="H152" s="59"/>
      <c r="I152" s="59"/>
      <c r="J152" s="59"/>
      <c r="K152" s="59"/>
      <c r="L152" s="59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</row>
    <row r="153">
      <c r="A153" s="57"/>
      <c r="B153" s="57"/>
      <c r="C153" s="57"/>
      <c r="D153" s="57"/>
      <c r="E153" s="58"/>
      <c r="F153" s="57"/>
      <c r="G153" s="59"/>
      <c r="H153" s="59"/>
      <c r="I153" s="59"/>
      <c r="J153" s="59"/>
      <c r="K153" s="59"/>
      <c r="L153" s="59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</row>
    <row r="154">
      <c r="A154" s="57"/>
      <c r="B154" s="57"/>
      <c r="C154" s="57"/>
      <c r="D154" s="57"/>
      <c r="E154" s="58"/>
      <c r="F154" s="57"/>
      <c r="G154" s="59"/>
      <c r="H154" s="59"/>
      <c r="I154" s="59"/>
      <c r="J154" s="59"/>
      <c r="K154" s="59"/>
      <c r="L154" s="59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</row>
    <row r="155">
      <c r="A155" s="57"/>
      <c r="B155" s="57"/>
      <c r="C155" s="57"/>
      <c r="D155" s="57"/>
      <c r="E155" s="58"/>
      <c r="F155" s="57"/>
      <c r="G155" s="59"/>
      <c r="H155" s="59"/>
      <c r="I155" s="59"/>
      <c r="J155" s="59"/>
      <c r="K155" s="59"/>
      <c r="L155" s="59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</row>
    <row r="156">
      <c r="A156" s="57"/>
      <c r="B156" s="57"/>
      <c r="C156" s="57"/>
      <c r="D156" s="57"/>
      <c r="E156" s="58"/>
      <c r="F156" s="57"/>
      <c r="G156" s="59"/>
      <c r="H156" s="59"/>
      <c r="I156" s="59"/>
      <c r="J156" s="59"/>
      <c r="K156" s="59"/>
      <c r="L156" s="59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</row>
    <row r="157">
      <c r="A157" s="57"/>
      <c r="B157" s="57"/>
      <c r="C157" s="57"/>
      <c r="D157" s="57"/>
      <c r="E157" s="58"/>
      <c r="F157" s="57"/>
      <c r="G157" s="59"/>
      <c r="H157" s="59"/>
      <c r="I157" s="59"/>
      <c r="J157" s="59"/>
      <c r="K157" s="59"/>
      <c r="L157" s="59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</row>
    <row r="158">
      <c r="A158" s="57"/>
      <c r="B158" s="57"/>
      <c r="C158" s="57"/>
      <c r="D158" s="57"/>
      <c r="E158" s="58"/>
      <c r="F158" s="57"/>
      <c r="G158" s="59"/>
      <c r="H158" s="59"/>
      <c r="I158" s="59"/>
      <c r="J158" s="59"/>
      <c r="K158" s="59"/>
      <c r="L158" s="59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</row>
    <row r="159">
      <c r="A159" s="57"/>
      <c r="B159" s="57"/>
      <c r="C159" s="57"/>
      <c r="D159" s="57"/>
      <c r="E159" s="58"/>
      <c r="F159" s="57"/>
      <c r="G159" s="59"/>
      <c r="H159" s="59"/>
      <c r="I159" s="59"/>
      <c r="J159" s="59"/>
      <c r="K159" s="59"/>
      <c r="L159" s="59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</row>
    <row r="160">
      <c r="A160" s="57"/>
      <c r="B160" s="57"/>
      <c r="C160" s="57"/>
      <c r="D160" s="57"/>
      <c r="E160" s="58"/>
      <c r="F160" s="57"/>
      <c r="G160" s="59"/>
      <c r="H160" s="59"/>
      <c r="I160" s="59"/>
      <c r="J160" s="59"/>
      <c r="K160" s="59"/>
      <c r="L160" s="59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</row>
    <row r="161">
      <c r="A161" s="57"/>
      <c r="B161" s="57"/>
      <c r="C161" s="57"/>
      <c r="D161" s="57"/>
      <c r="E161" s="58"/>
      <c r="F161" s="57"/>
      <c r="G161" s="59"/>
      <c r="H161" s="59"/>
      <c r="I161" s="59"/>
      <c r="J161" s="59"/>
      <c r="K161" s="59"/>
      <c r="L161" s="59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</row>
    <row r="162">
      <c r="A162" s="57"/>
      <c r="B162" s="57"/>
      <c r="C162" s="57"/>
      <c r="D162" s="57"/>
      <c r="E162" s="58"/>
      <c r="F162" s="57"/>
      <c r="G162" s="59"/>
      <c r="H162" s="59"/>
      <c r="I162" s="59"/>
      <c r="J162" s="59"/>
      <c r="K162" s="59"/>
      <c r="L162" s="59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</row>
    <row r="163">
      <c r="A163" s="57"/>
      <c r="B163" s="57"/>
      <c r="C163" s="57"/>
      <c r="D163" s="57"/>
      <c r="E163" s="58"/>
      <c r="F163" s="57"/>
      <c r="G163" s="59"/>
      <c r="H163" s="59"/>
      <c r="I163" s="59"/>
      <c r="J163" s="59"/>
      <c r="K163" s="59"/>
      <c r="L163" s="59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</row>
    <row r="164">
      <c r="A164" s="57"/>
      <c r="B164" s="57"/>
      <c r="C164" s="57"/>
      <c r="D164" s="57"/>
      <c r="E164" s="58"/>
      <c r="F164" s="57"/>
      <c r="G164" s="59"/>
      <c r="H164" s="59"/>
      <c r="I164" s="59"/>
      <c r="J164" s="59"/>
      <c r="K164" s="59"/>
      <c r="L164" s="59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</row>
    <row r="165">
      <c r="A165" s="57"/>
      <c r="B165" s="57"/>
      <c r="C165" s="57"/>
      <c r="D165" s="57"/>
      <c r="E165" s="58"/>
      <c r="F165" s="57"/>
      <c r="G165" s="59"/>
      <c r="H165" s="59"/>
      <c r="I165" s="59"/>
      <c r="J165" s="59"/>
      <c r="K165" s="59"/>
      <c r="L165" s="59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</row>
    <row r="166">
      <c r="A166" s="57"/>
      <c r="B166" s="57"/>
      <c r="C166" s="57"/>
      <c r="D166" s="57"/>
      <c r="E166" s="58"/>
      <c r="F166" s="57"/>
      <c r="G166" s="59"/>
      <c r="H166" s="59"/>
      <c r="I166" s="59"/>
      <c r="J166" s="59"/>
      <c r="K166" s="59"/>
      <c r="L166" s="59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</row>
    <row r="167">
      <c r="A167" s="57"/>
      <c r="B167" s="57"/>
      <c r="C167" s="57"/>
      <c r="D167" s="57"/>
      <c r="E167" s="58"/>
      <c r="F167" s="57"/>
      <c r="G167" s="59"/>
      <c r="H167" s="59"/>
      <c r="I167" s="59"/>
      <c r="J167" s="59"/>
      <c r="K167" s="59"/>
      <c r="L167" s="59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</row>
    <row r="168">
      <c r="A168" s="57"/>
      <c r="B168" s="57"/>
      <c r="C168" s="57"/>
      <c r="D168" s="57"/>
      <c r="E168" s="58"/>
      <c r="F168" s="57"/>
      <c r="G168" s="59"/>
      <c r="H168" s="59"/>
      <c r="I168" s="59"/>
      <c r="J168" s="59"/>
      <c r="K168" s="59"/>
      <c r="L168" s="59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</row>
    <row r="169">
      <c r="A169" s="57"/>
      <c r="B169" s="57"/>
      <c r="C169" s="57"/>
      <c r="D169" s="57"/>
      <c r="E169" s="58"/>
      <c r="F169" s="57"/>
      <c r="G169" s="59"/>
      <c r="H169" s="59"/>
      <c r="I169" s="59"/>
      <c r="J169" s="59"/>
      <c r="K169" s="59"/>
      <c r="L169" s="59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</row>
    <row r="170">
      <c r="A170" s="57"/>
      <c r="B170" s="57"/>
      <c r="C170" s="57"/>
      <c r="D170" s="57"/>
      <c r="E170" s="58"/>
      <c r="F170" s="57"/>
      <c r="G170" s="59"/>
      <c r="H170" s="59"/>
      <c r="I170" s="59"/>
      <c r="J170" s="59"/>
      <c r="K170" s="59"/>
      <c r="L170" s="59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</row>
    <row r="171">
      <c r="A171" s="57"/>
      <c r="B171" s="57"/>
      <c r="C171" s="57"/>
      <c r="D171" s="57"/>
      <c r="E171" s="58"/>
      <c r="F171" s="57"/>
      <c r="G171" s="59"/>
      <c r="H171" s="59"/>
      <c r="I171" s="59"/>
      <c r="J171" s="59"/>
      <c r="K171" s="59"/>
      <c r="L171" s="59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</row>
    <row r="172">
      <c r="A172" s="57"/>
      <c r="B172" s="57"/>
      <c r="C172" s="57"/>
      <c r="D172" s="57"/>
      <c r="E172" s="58"/>
      <c r="F172" s="57"/>
      <c r="G172" s="59"/>
      <c r="H172" s="59"/>
      <c r="I172" s="59"/>
      <c r="J172" s="59"/>
      <c r="K172" s="59"/>
      <c r="L172" s="59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</row>
    <row r="173">
      <c r="A173" s="57"/>
      <c r="B173" s="57"/>
      <c r="C173" s="57"/>
      <c r="D173" s="57"/>
      <c r="E173" s="58"/>
      <c r="F173" s="57"/>
      <c r="G173" s="59"/>
      <c r="H173" s="59"/>
      <c r="I173" s="59"/>
      <c r="J173" s="59"/>
      <c r="K173" s="59"/>
      <c r="L173" s="59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</row>
    <row r="174">
      <c r="A174" s="57"/>
      <c r="B174" s="57"/>
      <c r="C174" s="57"/>
      <c r="D174" s="57"/>
      <c r="E174" s="58"/>
      <c r="F174" s="57"/>
      <c r="G174" s="59"/>
      <c r="H174" s="59"/>
      <c r="I174" s="59"/>
      <c r="J174" s="59"/>
      <c r="K174" s="59"/>
      <c r="L174" s="59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</row>
    <row r="175">
      <c r="A175" s="57"/>
      <c r="B175" s="57"/>
      <c r="C175" s="57"/>
      <c r="D175" s="57"/>
      <c r="E175" s="58"/>
      <c r="F175" s="57"/>
      <c r="G175" s="59"/>
      <c r="H175" s="59"/>
      <c r="I175" s="59"/>
      <c r="J175" s="59"/>
      <c r="K175" s="59"/>
      <c r="L175" s="59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</row>
    <row r="176">
      <c r="A176" s="57"/>
      <c r="B176" s="57"/>
      <c r="C176" s="57"/>
      <c r="D176" s="57"/>
      <c r="E176" s="58"/>
      <c r="F176" s="57"/>
      <c r="G176" s="59"/>
      <c r="H176" s="59"/>
      <c r="I176" s="59"/>
      <c r="J176" s="59"/>
      <c r="K176" s="59"/>
      <c r="L176" s="59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</row>
    <row r="177">
      <c r="A177" s="57"/>
      <c r="B177" s="57"/>
      <c r="C177" s="57"/>
      <c r="D177" s="57"/>
      <c r="E177" s="58"/>
      <c r="F177" s="57"/>
      <c r="G177" s="59"/>
      <c r="H177" s="59"/>
      <c r="I177" s="59"/>
      <c r="J177" s="59"/>
      <c r="K177" s="59"/>
      <c r="L177" s="59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</row>
    <row r="178">
      <c r="A178" s="57"/>
      <c r="B178" s="57"/>
      <c r="C178" s="57"/>
      <c r="D178" s="57"/>
      <c r="E178" s="58"/>
      <c r="F178" s="57"/>
      <c r="G178" s="59"/>
      <c r="H178" s="59"/>
      <c r="I178" s="59"/>
      <c r="J178" s="59"/>
      <c r="K178" s="59"/>
      <c r="L178" s="59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</row>
    <row r="179">
      <c r="A179" s="57"/>
      <c r="B179" s="57"/>
      <c r="C179" s="57"/>
      <c r="D179" s="57"/>
      <c r="E179" s="58"/>
      <c r="F179" s="57"/>
      <c r="G179" s="59"/>
      <c r="H179" s="59"/>
      <c r="I179" s="59"/>
      <c r="J179" s="59"/>
      <c r="K179" s="59"/>
      <c r="L179" s="59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</row>
    <row r="180">
      <c r="A180" s="57"/>
      <c r="B180" s="57"/>
      <c r="C180" s="57"/>
      <c r="D180" s="57"/>
      <c r="E180" s="58"/>
      <c r="F180" s="57"/>
      <c r="G180" s="59"/>
      <c r="H180" s="59"/>
      <c r="I180" s="59"/>
      <c r="J180" s="59"/>
      <c r="K180" s="59"/>
      <c r="L180" s="59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</row>
    <row r="181">
      <c r="A181" s="57"/>
      <c r="B181" s="57"/>
      <c r="C181" s="57"/>
      <c r="D181" s="57"/>
      <c r="E181" s="58"/>
      <c r="F181" s="57"/>
      <c r="G181" s="59"/>
      <c r="H181" s="59"/>
      <c r="I181" s="59"/>
      <c r="J181" s="59"/>
      <c r="K181" s="59"/>
      <c r="L181" s="59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</row>
    <row r="182">
      <c r="A182" s="57"/>
      <c r="B182" s="57"/>
      <c r="C182" s="57"/>
      <c r="D182" s="57"/>
      <c r="E182" s="58"/>
      <c r="F182" s="57"/>
      <c r="G182" s="59"/>
      <c r="H182" s="59"/>
      <c r="I182" s="59"/>
      <c r="J182" s="59"/>
      <c r="K182" s="59"/>
      <c r="L182" s="59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</row>
    <row r="183">
      <c r="A183" s="57"/>
      <c r="B183" s="57"/>
      <c r="C183" s="57"/>
      <c r="D183" s="57"/>
      <c r="E183" s="58"/>
      <c r="F183" s="57"/>
      <c r="G183" s="59"/>
      <c r="H183" s="59"/>
      <c r="I183" s="59"/>
      <c r="J183" s="59"/>
      <c r="K183" s="59"/>
      <c r="L183" s="59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</row>
    <row r="184">
      <c r="A184" s="57"/>
      <c r="B184" s="57"/>
      <c r="C184" s="57"/>
      <c r="D184" s="57"/>
      <c r="E184" s="58"/>
      <c r="F184" s="57"/>
      <c r="G184" s="59"/>
      <c r="H184" s="59"/>
      <c r="I184" s="59"/>
      <c r="J184" s="59"/>
      <c r="K184" s="59"/>
      <c r="L184" s="59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</row>
    <row r="185">
      <c r="A185" s="57"/>
      <c r="B185" s="57"/>
      <c r="C185" s="57"/>
      <c r="D185" s="57"/>
      <c r="E185" s="58"/>
      <c r="F185" s="57"/>
      <c r="G185" s="59"/>
      <c r="H185" s="59"/>
      <c r="I185" s="59"/>
      <c r="J185" s="59"/>
      <c r="K185" s="59"/>
      <c r="L185" s="59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</row>
    <row r="186">
      <c r="A186" s="57"/>
      <c r="B186" s="57"/>
      <c r="C186" s="57"/>
      <c r="D186" s="57"/>
      <c r="E186" s="58"/>
      <c r="F186" s="57"/>
      <c r="G186" s="59"/>
      <c r="H186" s="59"/>
      <c r="I186" s="59"/>
      <c r="J186" s="59"/>
      <c r="K186" s="59"/>
      <c r="L186" s="59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</row>
    <row r="187">
      <c r="A187" s="57"/>
      <c r="B187" s="57"/>
      <c r="C187" s="57"/>
      <c r="D187" s="57"/>
      <c r="E187" s="58"/>
      <c r="F187" s="57"/>
      <c r="G187" s="59"/>
      <c r="H187" s="59"/>
      <c r="I187" s="59"/>
      <c r="J187" s="59"/>
      <c r="K187" s="59"/>
      <c r="L187" s="59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</row>
    <row r="188">
      <c r="A188" s="57"/>
      <c r="B188" s="57"/>
      <c r="C188" s="57"/>
      <c r="D188" s="57"/>
      <c r="E188" s="58"/>
      <c r="F188" s="57"/>
      <c r="G188" s="59"/>
      <c r="H188" s="59"/>
      <c r="I188" s="59"/>
      <c r="J188" s="59"/>
      <c r="K188" s="59"/>
      <c r="L188" s="59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</row>
    <row r="189">
      <c r="A189" s="57"/>
      <c r="B189" s="57"/>
      <c r="C189" s="57"/>
      <c r="D189" s="57"/>
      <c r="E189" s="58"/>
      <c r="F189" s="57"/>
      <c r="G189" s="59"/>
      <c r="H189" s="59"/>
      <c r="I189" s="59"/>
      <c r="J189" s="59"/>
      <c r="K189" s="59"/>
      <c r="L189" s="59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</row>
    <row r="190">
      <c r="A190" s="57"/>
      <c r="B190" s="57"/>
      <c r="C190" s="57"/>
      <c r="D190" s="57"/>
      <c r="E190" s="58"/>
      <c r="F190" s="57"/>
      <c r="G190" s="59"/>
      <c r="H190" s="59"/>
      <c r="I190" s="59"/>
      <c r="J190" s="59"/>
      <c r="K190" s="59"/>
      <c r="L190" s="59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</row>
    <row r="191">
      <c r="A191" s="57"/>
      <c r="B191" s="57"/>
      <c r="C191" s="57"/>
      <c r="D191" s="57"/>
      <c r="E191" s="58"/>
      <c r="F191" s="57"/>
      <c r="G191" s="59"/>
      <c r="H191" s="59"/>
      <c r="I191" s="59"/>
      <c r="J191" s="59"/>
      <c r="K191" s="59"/>
      <c r="L191" s="59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</row>
    <row r="192">
      <c r="A192" s="57"/>
      <c r="B192" s="57"/>
      <c r="C192" s="57"/>
      <c r="D192" s="57"/>
      <c r="E192" s="58"/>
      <c r="F192" s="57"/>
      <c r="G192" s="59"/>
      <c r="H192" s="59"/>
      <c r="I192" s="59"/>
      <c r="J192" s="59"/>
      <c r="K192" s="59"/>
      <c r="L192" s="59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</row>
    <row r="193">
      <c r="A193" s="57"/>
      <c r="B193" s="57"/>
      <c r="C193" s="57"/>
      <c r="D193" s="57"/>
      <c r="E193" s="58"/>
      <c r="F193" s="57"/>
      <c r="G193" s="59"/>
      <c r="H193" s="59"/>
      <c r="I193" s="59"/>
      <c r="J193" s="59"/>
      <c r="K193" s="59"/>
      <c r="L193" s="59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</row>
    <row r="194">
      <c r="A194" s="57"/>
      <c r="B194" s="57"/>
      <c r="C194" s="57"/>
      <c r="D194" s="57"/>
      <c r="E194" s="58"/>
      <c r="F194" s="57"/>
      <c r="G194" s="59"/>
      <c r="H194" s="59"/>
      <c r="I194" s="59"/>
      <c r="J194" s="59"/>
      <c r="K194" s="59"/>
      <c r="L194" s="59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</row>
    <row r="195">
      <c r="A195" s="57"/>
      <c r="B195" s="57"/>
      <c r="C195" s="57"/>
      <c r="D195" s="57"/>
      <c r="E195" s="58"/>
      <c r="F195" s="57"/>
      <c r="G195" s="59"/>
      <c r="H195" s="59"/>
      <c r="I195" s="59"/>
      <c r="J195" s="59"/>
      <c r="K195" s="59"/>
      <c r="L195" s="59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</row>
    <row r="196">
      <c r="A196" s="57"/>
      <c r="B196" s="57"/>
      <c r="C196" s="57"/>
      <c r="D196" s="57"/>
      <c r="E196" s="58"/>
      <c r="F196" s="57"/>
      <c r="G196" s="59"/>
      <c r="H196" s="59"/>
      <c r="I196" s="59"/>
      <c r="J196" s="59"/>
      <c r="K196" s="59"/>
      <c r="L196" s="59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</row>
    <row r="197">
      <c r="A197" s="57"/>
      <c r="B197" s="57"/>
      <c r="C197" s="57"/>
      <c r="D197" s="57"/>
      <c r="E197" s="58"/>
      <c r="F197" s="57"/>
      <c r="G197" s="59"/>
      <c r="H197" s="59"/>
      <c r="I197" s="59"/>
      <c r="J197" s="59"/>
      <c r="K197" s="59"/>
      <c r="L197" s="59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</row>
    <row r="198">
      <c r="A198" s="57"/>
      <c r="B198" s="57"/>
      <c r="C198" s="57"/>
      <c r="D198" s="57"/>
      <c r="E198" s="58"/>
      <c r="F198" s="57"/>
      <c r="G198" s="59"/>
      <c r="H198" s="59"/>
      <c r="I198" s="59"/>
      <c r="J198" s="59"/>
      <c r="K198" s="59"/>
      <c r="L198" s="59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</row>
    <row r="199">
      <c r="A199" s="57"/>
      <c r="B199" s="57"/>
      <c r="C199" s="57"/>
      <c r="D199" s="57"/>
      <c r="E199" s="58"/>
      <c r="F199" s="57"/>
      <c r="G199" s="59"/>
      <c r="H199" s="59"/>
      <c r="I199" s="59"/>
      <c r="J199" s="59"/>
      <c r="K199" s="59"/>
      <c r="L199" s="59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</row>
    <row r="200">
      <c r="A200" s="57"/>
      <c r="B200" s="57"/>
      <c r="C200" s="57"/>
      <c r="D200" s="57"/>
      <c r="E200" s="58"/>
      <c r="F200" s="57"/>
      <c r="G200" s="59"/>
      <c r="H200" s="59"/>
      <c r="I200" s="59"/>
      <c r="J200" s="59"/>
      <c r="K200" s="59"/>
      <c r="L200" s="59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</row>
    <row r="201">
      <c r="A201" s="57"/>
      <c r="B201" s="57"/>
      <c r="C201" s="57"/>
      <c r="D201" s="57"/>
      <c r="E201" s="58"/>
      <c r="F201" s="57"/>
      <c r="G201" s="59"/>
      <c r="H201" s="59"/>
      <c r="I201" s="59"/>
      <c r="J201" s="59"/>
      <c r="K201" s="59"/>
      <c r="L201" s="59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</row>
    <row r="202">
      <c r="A202" s="57"/>
      <c r="B202" s="57"/>
      <c r="C202" s="57"/>
      <c r="D202" s="57"/>
      <c r="E202" s="58"/>
      <c r="F202" s="57"/>
      <c r="G202" s="59"/>
      <c r="H202" s="59"/>
      <c r="I202" s="59"/>
      <c r="J202" s="59"/>
      <c r="K202" s="59"/>
      <c r="L202" s="59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</row>
    <row r="203">
      <c r="A203" s="57"/>
      <c r="B203" s="57"/>
      <c r="C203" s="57"/>
      <c r="D203" s="57"/>
      <c r="E203" s="58"/>
      <c r="F203" s="57"/>
      <c r="G203" s="59"/>
      <c r="H203" s="59"/>
      <c r="I203" s="59"/>
      <c r="J203" s="59"/>
      <c r="K203" s="59"/>
      <c r="L203" s="59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</row>
    <row r="204">
      <c r="A204" s="57"/>
      <c r="B204" s="57"/>
      <c r="C204" s="57"/>
      <c r="D204" s="57"/>
      <c r="E204" s="58"/>
      <c r="F204" s="57"/>
      <c r="G204" s="59"/>
      <c r="H204" s="59"/>
      <c r="I204" s="59"/>
      <c r="J204" s="59"/>
      <c r="K204" s="59"/>
      <c r="L204" s="59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</row>
    <row r="205">
      <c r="A205" s="57"/>
      <c r="B205" s="57"/>
      <c r="C205" s="57"/>
      <c r="D205" s="57"/>
      <c r="E205" s="58"/>
      <c r="F205" s="57"/>
      <c r="G205" s="59"/>
      <c r="H205" s="59"/>
      <c r="I205" s="59"/>
      <c r="J205" s="59"/>
      <c r="K205" s="59"/>
      <c r="L205" s="59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</row>
    <row r="206">
      <c r="A206" s="57"/>
      <c r="B206" s="57"/>
      <c r="C206" s="57"/>
      <c r="D206" s="57"/>
      <c r="E206" s="58"/>
      <c r="F206" s="57"/>
      <c r="G206" s="59"/>
      <c r="H206" s="59"/>
      <c r="I206" s="59"/>
      <c r="J206" s="59"/>
      <c r="K206" s="59"/>
      <c r="L206" s="59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</row>
    <row r="207">
      <c r="A207" s="57"/>
      <c r="B207" s="57"/>
      <c r="C207" s="57"/>
      <c r="D207" s="57"/>
      <c r="E207" s="58"/>
      <c r="F207" s="57"/>
      <c r="G207" s="59"/>
      <c r="H207" s="59"/>
      <c r="I207" s="59"/>
      <c r="J207" s="59"/>
      <c r="K207" s="59"/>
      <c r="L207" s="59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</row>
    <row r="208">
      <c r="A208" s="57"/>
      <c r="B208" s="57"/>
      <c r="C208" s="57"/>
      <c r="D208" s="57"/>
      <c r="E208" s="58"/>
      <c r="F208" s="57"/>
      <c r="G208" s="59"/>
      <c r="H208" s="59"/>
      <c r="I208" s="59"/>
      <c r="J208" s="59"/>
      <c r="K208" s="59"/>
      <c r="L208" s="59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</row>
    <row r="209">
      <c r="A209" s="57"/>
      <c r="B209" s="57"/>
      <c r="C209" s="57"/>
      <c r="D209" s="57"/>
      <c r="E209" s="58"/>
      <c r="F209" s="57"/>
      <c r="G209" s="59"/>
      <c r="H209" s="59"/>
      <c r="I209" s="59"/>
      <c r="J209" s="59"/>
      <c r="K209" s="59"/>
      <c r="L209" s="59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</row>
    <row r="210">
      <c r="A210" s="57"/>
      <c r="B210" s="57"/>
      <c r="C210" s="57"/>
      <c r="D210" s="57"/>
      <c r="E210" s="58"/>
      <c r="F210" s="57"/>
      <c r="G210" s="59"/>
      <c r="H210" s="59"/>
      <c r="I210" s="59"/>
      <c r="J210" s="59"/>
      <c r="K210" s="59"/>
      <c r="L210" s="59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</row>
    <row r="211">
      <c r="A211" s="57"/>
      <c r="B211" s="57"/>
      <c r="C211" s="57"/>
      <c r="D211" s="57"/>
      <c r="E211" s="58"/>
      <c r="F211" s="57"/>
      <c r="G211" s="59"/>
      <c r="H211" s="59"/>
      <c r="I211" s="59"/>
      <c r="J211" s="59"/>
      <c r="K211" s="59"/>
      <c r="L211" s="59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</row>
    <row r="212">
      <c r="A212" s="57"/>
      <c r="B212" s="57"/>
      <c r="C212" s="57"/>
      <c r="D212" s="57"/>
      <c r="E212" s="58"/>
      <c r="F212" s="57"/>
      <c r="G212" s="59"/>
      <c r="H212" s="59"/>
      <c r="I212" s="59"/>
      <c r="J212" s="59"/>
      <c r="K212" s="59"/>
      <c r="L212" s="59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</row>
    <row r="213">
      <c r="A213" s="57"/>
      <c r="B213" s="57"/>
      <c r="C213" s="57"/>
      <c r="D213" s="57"/>
      <c r="E213" s="58"/>
      <c r="F213" s="57"/>
      <c r="G213" s="59"/>
      <c r="H213" s="59"/>
      <c r="I213" s="59"/>
      <c r="J213" s="59"/>
      <c r="K213" s="59"/>
      <c r="L213" s="59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</row>
    <row r="214">
      <c r="A214" s="57"/>
      <c r="B214" s="57"/>
      <c r="C214" s="57"/>
      <c r="D214" s="57"/>
      <c r="E214" s="58"/>
      <c r="F214" s="57"/>
      <c r="G214" s="59"/>
      <c r="H214" s="59"/>
      <c r="I214" s="59"/>
      <c r="J214" s="59"/>
      <c r="K214" s="59"/>
      <c r="L214" s="59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</row>
    <row r="215">
      <c r="A215" s="57"/>
      <c r="B215" s="57"/>
      <c r="C215" s="57"/>
      <c r="D215" s="57"/>
      <c r="E215" s="58"/>
      <c r="F215" s="57"/>
      <c r="G215" s="59"/>
      <c r="H215" s="59"/>
      <c r="I215" s="59"/>
      <c r="J215" s="59"/>
      <c r="K215" s="59"/>
      <c r="L215" s="59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</row>
    <row r="216">
      <c r="A216" s="57"/>
      <c r="B216" s="57"/>
      <c r="C216" s="57"/>
      <c r="D216" s="57"/>
      <c r="E216" s="58"/>
      <c r="F216" s="57"/>
      <c r="G216" s="59"/>
      <c r="H216" s="59"/>
      <c r="I216" s="59"/>
      <c r="J216" s="59"/>
      <c r="K216" s="59"/>
      <c r="L216" s="59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</row>
    <row r="217">
      <c r="A217" s="57"/>
      <c r="B217" s="57"/>
      <c r="C217" s="57"/>
      <c r="D217" s="57"/>
      <c r="E217" s="58"/>
      <c r="F217" s="57"/>
      <c r="G217" s="59"/>
      <c r="H217" s="59"/>
      <c r="I217" s="59"/>
      <c r="J217" s="59"/>
      <c r="K217" s="59"/>
      <c r="L217" s="59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</row>
    <row r="218">
      <c r="A218" s="57"/>
      <c r="B218" s="57"/>
      <c r="C218" s="57"/>
      <c r="D218" s="57"/>
      <c r="E218" s="58"/>
      <c r="F218" s="57"/>
      <c r="G218" s="59"/>
      <c r="H218" s="59"/>
      <c r="I218" s="59"/>
      <c r="J218" s="59"/>
      <c r="K218" s="59"/>
      <c r="L218" s="59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</row>
    <row r="219">
      <c r="A219" s="57"/>
      <c r="B219" s="57"/>
      <c r="C219" s="57"/>
      <c r="D219" s="57"/>
      <c r="E219" s="58"/>
      <c r="F219" s="57"/>
      <c r="G219" s="59"/>
      <c r="H219" s="59"/>
      <c r="I219" s="59"/>
      <c r="J219" s="59"/>
      <c r="K219" s="59"/>
      <c r="L219" s="59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</row>
    <row r="220">
      <c r="A220" s="57"/>
      <c r="B220" s="57"/>
      <c r="C220" s="57"/>
      <c r="D220" s="57"/>
      <c r="E220" s="58"/>
      <c r="F220" s="57"/>
      <c r="G220" s="59"/>
      <c r="H220" s="59"/>
      <c r="I220" s="59"/>
      <c r="J220" s="59"/>
      <c r="K220" s="59"/>
      <c r="L220" s="59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</row>
    <row r="221">
      <c r="A221" s="57"/>
      <c r="B221" s="57"/>
      <c r="C221" s="57"/>
      <c r="D221" s="57"/>
      <c r="E221" s="58"/>
      <c r="F221" s="57"/>
      <c r="G221" s="59"/>
      <c r="H221" s="59"/>
      <c r="I221" s="59"/>
      <c r="J221" s="59"/>
      <c r="K221" s="59"/>
      <c r="L221" s="59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</row>
    <row r="222">
      <c r="A222" s="57"/>
      <c r="B222" s="57"/>
      <c r="C222" s="57"/>
      <c r="D222" s="57"/>
      <c r="E222" s="58"/>
      <c r="F222" s="57"/>
      <c r="G222" s="59"/>
      <c r="H222" s="59"/>
      <c r="I222" s="59"/>
      <c r="J222" s="59"/>
      <c r="K222" s="59"/>
      <c r="L222" s="59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</row>
    <row r="223">
      <c r="A223" s="57"/>
      <c r="B223" s="57"/>
      <c r="C223" s="57"/>
      <c r="D223" s="57"/>
      <c r="E223" s="58"/>
      <c r="F223" s="57"/>
      <c r="G223" s="59"/>
      <c r="H223" s="59"/>
      <c r="I223" s="59"/>
      <c r="J223" s="59"/>
      <c r="K223" s="59"/>
      <c r="L223" s="59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</row>
    <row r="224">
      <c r="A224" s="57"/>
      <c r="B224" s="57"/>
      <c r="C224" s="57"/>
      <c r="D224" s="57"/>
      <c r="E224" s="58"/>
      <c r="F224" s="57"/>
      <c r="G224" s="59"/>
      <c r="H224" s="59"/>
      <c r="I224" s="59"/>
      <c r="J224" s="59"/>
      <c r="K224" s="59"/>
      <c r="L224" s="59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</row>
    <row r="225">
      <c r="A225" s="57"/>
      <c r="B225" s="57"/>
      <c r="C225" s="57"/>
      <c r="D225" s="57"/>
      <c r="E225" s="58"/>
      <c r="F225" s="57"/>
      <c r="G225" s="59"/>
      <c r="H225" s="59"/>
      <c r="I225" s="59"/>
      <c r="J225" s="59"/>
      <c r="K225" s="59"/>
      <c r="L225" s="59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</row>
    <row r="226">
      <c r="A226" s="57"/>
      <c r="B226" s="57"/>
      <c r="C226" s="57"/>
      <c r="D226" s="57"/>
      <c r="E226" s="58"/>
      <c r="F226" s="57"/>
      <c r="G226" s="59"/>
      <c r="H226" s="59"/>
      <c r="I226" s="59"/>
      <c r="J226" s="59"/>
      <c r="K226" s="59"/>
      <c r="L226" s="59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</row>
    <row r="227">
      <c r="A227" s="57"/>
      <c r="B227" s="57"/>
      <c r="C227" s="57"/>
      <c r="D227" s="57"/>
      <c r="E227" s="58"/>
      <c r="F227" s="57"/>
      <c r="G227" s="59"/>
      <c r="H227" s="59"/>
      <c r="I227" s="59"/>
      <c r="J227" s="59"/>
      <c r="K227" s="59"/>
      <c r="L227" s="59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</row>
    <row r="228">
      <c r="A228" s="57"/>
      <c r="B228" s="57"/>
      <c r="C228" s="57"/>
      <c r="D228" s="57"/>
      <c r="E228" s="58"/>
      <c r="F228" s="57"/>
      <c r="G228" s="59"/>
      <c r="H228" s="59"/>
      <c r="I228" s="59"/>
      <c r="J228" s="59"/>
      <c r="K228" s="59"/>
      <c r="L228" s="59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</row>
    <row r="229">
      <c r="A229" s="57"/>
      <c r="B229" s="57"/>
      <c r="C229" s="57"/>
      <c r="D229" s="57"/>
      <c r="E229" s="58"/>
      <c r="F229" s="57"/>
      <c r="G229" s="59"/>
      <c r="H229" s="59"/>
      <c r="I229" s="59"/>
      <c r="J229" s="59"/>
      <c r="K229" s="59"/>
      <c r="L229" s="59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</row>
    <row r="230">
      <c r="A230" s="57"/>
      <c r="B230" s="57"/>
      <c r="C230" s="57"/>
      <c r="D230" s="57"/>
      <c r="E230" s="58"/>
      <c r="F230" s="57"/>
      <c r="G230" s="59"/>
      <c r="H230" s="59"/>
      <c r="I230" s="59"/>
      <c r="J230" s="59"/>
      <c r="K230" s="59"/>
      <c r="L230" s="59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</row>
    <row r="231">
      <c r="A231" s="57"/>
      <c r="B231" s="57"/>
      <c r="C231" s="57"/>
      <c r="D231" s="57"/>
      <c r="E231" s="58"/>
      <c r="F231" s="57"/>
      <c r="G231" s="59"/>
      <c r="H231" s="59"/>
      <c r="I231" s="59"/>
      <c r="J231" s="59"/>
      <c r="K231" s="59"/>
      <c r="L231" s="59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</row>
    <row r="232">
      <c r="A232" s="57"/>
      <c r="B232" s="57"/>
      <c r="C232" s="57"/>
      <c r="D232" s="57"/>
      <c r="E232" s="58"/>
      <c r="F232" s="57"/>
      <c r="G232" s="59"/>
      <c r="H232" s="59"/>
      <c r="I232" s="59"/>
      <c r="J232" s="59"/>
      <c r="K232" s="59"/>
      <c r="L232" s="59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</row>
    <row r="233">
      <c r="A233" s="57"/>
      <c r="B233" s="57"/>
      <c r="C233" s="57"/>
      <c r="D233" s="57"/>
      <c r="E233" s="58"/>
      <c r="F233" s="57"/>
      <c r="G233" s="59"/>
      <c r="H233" s="59"/>
      <c r="I233" s="59"/>
      <c r="J233" s="59"/>
      <c r="K233" s="59"/>
      <c r="L233" s="59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</row>
    <row r="234">
      <c r="A234" s="57"/>
      <c r="B234" s="57"/>
      <c r="C234" s="57"/>
      <c r="D234" s="57"/>
      <c r="E234" s="58"/>
      <c r="F234" s="57"/>
      <c r="G234" s="59"/>
      <c r="H234" s="59"/>
      <c r="I234" s="59"/>
      <c r="J234" s="59"/>
      <c r="K234" s="59"/>
      <c r="L234" s="59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</row>
    <row r="235">
      <c r="A235" s="57"/>
      <c r="B235" s="57"/>
      <c r="C235" s="57"/>
      <c r="D235" s="57"/>
      <c r="E235" s="58"/>
      <c r="F235" s="57"/>
      <c r="G235" s="59"/>
      <c r="H235" s="59"/>
      <c r="I235" s="59"/>
      <c r="J235" s="59"/>
      <c r="K235" s="59"/>
      <c r="L235" s="59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</row>
    <row r="236">
      <c r="A236" s="57"/>
      <c r="B236" s="57"/>
      <c r="C236" s="57"/>
      <c r="D236" s="57"/>
      <c r="E236" s="58"/>
      <c r="F236" s="57"/>
      <c r="G236" s="59"/>
      <c r="H236" s="59"/>
      <c r="I236" s="59"/>
      <c r="J236" s="59"/>
      <c r="K236" s="59"/>
      <c r="L236" s="59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</row>
    <row r="237">
      <c r="A237" s="57"/>
      <c r="B237" s="57"/>
      <c r="C237" s="57"/>
      <c r="D237" s="57"/>
      <c r="E237" s="58"/>
      <c r="F237" s="57"/>
      <c r="G237" s="59"/>
      <c r="H237" s="59"/>
      <c r="I237" s="59"/>
      <c r="J237" s="59"/>
      <c r="K237" s="59"/>
      <c r="L237" s="59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</row>
    <row r="238">
      <c r="A238" s="57"/>
      <c r="B238" s="57"/>
      <c r="C238" s="57"/>
      <c r="D238" s="57"/>
      <c r="E238" s="58"/>
      <c r="F238" s="57"/>
      <c r="G238" s="59"/>
      <c r="H238" s="59"/>
      <c r="I238" s="59"/>
      <c r="J238" s="59"/>
      <c r="K238" s="59"/>
      <c r="L238" s="59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</row>
    <row r="239">
      <c r="A239" s="57"/>
      <c r="B239" s="57"/>
      <c r="C239" s="57"/>
      <c r="D239" s="57"/>
      <c r="E239" s="58"/>
      <c r="F239" s="57"/>
      <c r="G239" s="59"/>
      <c r="H239" s="59"/>
      <c r="I239" s="59"/>
      <c r="J239" s="59"/>
      <c r="K239" s="59"/>
      <c r="L239" s="59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</row>
    <row r="240">
      <c r="A240" s="57"/>
      <c r="B240" s="57"/>
      <c r="C240" s="57"/>
      <c r="D240" s="57"/>
      <c r="E240" s="58"/>
      <c r="F240" s="57"/>
      <c r="G240" s="59"/>
      <c r="H240" s="59"/>
      <c r="I240" s="59"/>
      <c r="J240" s="59"/>
      <c r="K240" s="59"/>
      <c r="L240" s="59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</row>
    <row r="241">
      <c r="A241" s="57"/>
      <c r="B241" s="57"/>
      <c r="C241" s="57"/>
      <c r="D241" s="57"/>
      <c r="E241" s="58"/>
      <c r="F241" s="57"/>
      <c r="G241" s="59"/>
      <c r="H241" s="59"/>
      <c r="I241" s="59"/>
      <c r="J241" s="59"/>
      <c r="K241" s="59"/>
      <c r="L241" s="59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</row>
    <row r="242">
      <c r="A242" s="57"/>
      <c r="B242" s="57"/>
      <c r="C242" s="57"/>
      <c r="D242" s="57"/>
      <c r="E242" s="58"/>
      <c r="F242" s="57"/>
      <c r="G242" s="59"/>
      <c r="H242" s="59"/>
      <c r="I242" s="59"/>
      <c r="J242" s="59"/>
      <c r="K242" s="59"/>
      <c r="L242" s="59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</row>
    <row r="243">
      <c r="A243" s="57"/>
      <c r="B243" s="57"/>
      <c r="C243" s="57"/>
      <c r="D243" s="57"/>
      <c r="E243" s="58"/>
      <c r="F243" s="57"/>
      <c r="G243" s="59"/>
      <c r="H243" s="59"/>
      <c r="I243" s="59"/>
      <c r="J243" s="59"/>
      <c r="K243" s="59"/>
      <c r="L243" s="59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</row>
    <row r="244">
      <c r="A244" s="57"/>
      <c r="B244" s="57"/>
      <c r="C244" s="57"/>
      <c r="D244" s="57"/>
      <c r="E244" s="58"/>
      <c r="F244" s="57"/>
      <c r="G244" s="59"/>
      <c r="H244" s="59"/>
      <c r="I244" s="59"/>
      <c r="J244" s="59"/>
      <c r="K244" s="59"/>
      <c r="L244" s="59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</row>
    <row r="245">
      <c r="A245" s="57"/>
      <c r="B245" s="57"/>
      <c r="C245" s="57"/>
      <c r="D245" s="57"/>
      <c r="E245" s="58"/>
      <c r="F245" s="57"/>
      <c r="G245" s="59"/>
      <c r="H245" s="59"/>
      <c r="I245" s="59"/>
      <c r="J245" s="59"/>
      <c r="K245" s="59"/>
      <c r="L245" s="59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</row>
    <row r="246">
      <c r="A246" s="57"/>
      <c r="B246" s="57"/>
      <c r="C246" s="57"/>
      <c r="D246" s="57"/>
      <c r="E246" s="58"/>
      <c r="F246" s="57"/>
      <c r="G246" s="59"/>
      <c r="H246" s="59"/>
      <c r="I246" s="59"/>
      <c r="J246" s="59"/>
      <c r="K246" s="59"/>
      <c r="L246" s="59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</row>
    <row r="247">
      <c r="A247" s="57"/>
      <c r="B247" s="57"/>
      <c r="C247" s="57"/>
      <c r="D247" s="57"/>
      <c r="E247" s="58"/>
      <c r="F247" s="57"/>
      <c r="G247" s="59"/>
      <c r="H247" s="59"/>
      <c r="I247" s="59"/>
      <c r="J247" s="59"/>
      <c r="K247" s="59"/>
      <c r="L247" s="59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</row>
    <row r="248">
      <c r="A248" s="57"/>
      <c r="B248" s="57"/>
      <c r="C248" s="57"/>
      <c r="D248" s="57"/>
      <c r="E248" s="58"/>
      <c r="F248" s="57"/>
      <c r="G248" s="59"/>
      <c r="H248" s="59"/>
      <c r="I248" s="59"/>
      <c r="J248" s="59"/>
      <c r="K248" s="59"/>
      <c r="L248" s="59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</row>
    <row r="249">
      <c r="A249" s="57"/>
      <c r="B249" s="57"/>
      <c r="C249" s="57"/>
      <c r="D249" s="57"/>
      <c r="E249" s="58"/>
      <c r="F249" s="57"/>
      <c r="G249" s="59"/>
      <c r="H249" s="59"/>
      <c r="I249" s="59"/>
      <c r="J249" s="59"/>
      <c r="K249" s="59"/>
      <c r="L249" s="59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</row>
    <row r="250">
      <c r="A250" s="57"/>
      <c r="B250" s="57"/>
      <c r="C250" s="57"/>
      <c r="D250" s="57"/>
      <c r="E250" s="58"/>
      <c r="F250" s="57"/>
      <c r="G250" s="59"/>
      <c r="H250" s="59"/>
      <c r="I250" s="59"/>
      <c r="J250" s="59"/>
      <c r="K250" s="59"/>
      <c r="L250" s="59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</row>
    <row r="251">
      <c r="A251" s="57"/>
      <c r="B251" s="57"/>
      <c r="C251" s="57"/>
      <c r="D251" s="57"/>
      <c r="E251" s="58"/>
      <c r="F251" s="57"/>
      <c r="G251" s="59"/>
      <c r="H251" s="59"/>
      <c r="I251" s="59"/>
      <c r="J251" s="59"/>
      <c r="K251" s="59"/>
      <c r="L251" s="59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</row>
    <row r="252">
      <c r="A252" s="57"/>
      <c r="B252" s="57"/>
      <c r="C252" s="57"/>
      <c r="D252" s="57"/>
      <c r="E252" s="58"/>
      <c r="F252" s="57"/>
      <c r="G252" s="59"/>
      <c r="H252" s="59"/>
      <c r="I252" s="59"/>
      <c r="J252" s="59"/>
      <c r="K252" s="59"/>
      <c r="L252" s="59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</row>
    <row r="253">
      <c r="A253" s="57"/>
      <c r="B253" s="57"/>
      <c r="C253" s="57"/>
      <c r="D253" s="57"/>
      <c r="E253" s="58"/>
      <c r="F253" s="57"/>
      <c r="G253" s="59"/>
      <c r="H253" s="59"/>
      <c r="I253" s="59"/>
      <c r="J253" s="59"/>
      <c r="K253" s="59"/>
      <c r="L253" s="59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</row>
    <row r="254">
      <c r="A254" s="57"/>
      <c r="B254" s="57"/>
      <c r="C254" s="57"/>
      <c r="D254" s="57"/>
      <c r="E254" s="58"/>
      <c r="F254" s="57"/>
      <c r="G254" s="59"/>
      <c r="H254" s="59"/>
      <c r="I254" s="59"/>
      <c r="J254" s="59"/>
      <c r="K254" s="59"/>
      <c r="L254" s="59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</row>
    <row r="255">
      <c r="A255" s="57"/>
      <c r="B255" s="57"/>
      <c r="C255" s="57"/>
      <c r="D255" s="57"/>
      <c r="E255" s="58"/>
      <c r="F255" s="57"/>
      <c r="G255" s="59"/>
      <c r="H255" s="59"/>
      <c r="I255" s="59"/>
      <c r="J255" s="59"/>
      <c r="K255" s="59"/>
      <c r="L255" s="59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</row>
    <row r="256">
      <c r="A256" s="57"/>
      <c r="B256" s="57"/>
      <c r="C256" s="57"/>
      <c r="D256" s="57"/>
      <c r="E256" s="58"/>
      <c r="F256" s="57"/>
      <c r="G256" s="59"/>
      <c r="H256" s="59"/>
      <c r="I256" s="59"/>
      <c r="J256" s="59"/>
      <c r="K256" s="59"/>
      <c r="L256" s="59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</row>
    <row r="257">
      <c r="A257" s="57"/>
      <c r="B257" s="57"/>
      <c r="C257" s="57"/>
      <c r="D257" s="57"/>
      <c r="E257" s="58"/>
      <c r="F257" s="57"/>
      <c r="G257" s="59"/>
      <c r="H257" s="59"/>
      <c r="I257" s="59"/>
      <c r="J257" s="59"/>
      <c r="K257" s="59"/>
      <c r="L257" s="59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</row>
    <row r="258">
      <c r="A258" s="57"/>
      <c r="B258" s="57"/>
      <c r="C258" s="57"/>
      <c r="D258" s="57"/>
      <c r="E258" s="58"/>
      <c r="F258" s="57"/>
      <c r="G258" s="59"/>
      <c r="H258" s="59"/>
      <c r="I258" s="59"/>
      <c r="J258" s="59"/>
      <c r="K258" s="59"/>
      <c r="L258" s="59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</row>
    <row r="259">
      <c r="A259" s="57"/>
      <c r="B259" s="57"/>
      <c r="C259" s="57"/>
      <c r="D259" s="57"/>
      <c r="E259" s="58"/>
      <c r="F259" s="57"/>
      <c r="G259" s="59"/>
      <c r="H259" s="59"/>
      <c r="I259" s="59"/>
      <c r="J259" s="59"/>
      <c r="K259" s="59"/>
      <c r="L259" s="59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</row>
    <row r="260">
      <c r="A260" s="57"/>
      <c r="B260" s="57"/>
      <c r="C260" s="57"/>
      <c r="D260" s="57"/>
      <c r="E260" s="58"/>
      <c r="F260" s="57"/>
      <c r="G260" s="59"/>
      <c r="H260" s="59"/>
      <c r="I260" s="59"/>
      <c r="J260" s="59"/>
      <c r="K260" s="59"/>
      <c r="L260" s="59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</row>
    <row r="261">
      <c r="A261" s="57"/>
      <c r="B261" s="57"/>
      <c r="C261" s="57"/>
      <c r="D261" s="57"/>
      <c r="E261" s="58"/>
      <c r="F261" s="57"/>
      <c r="G261" s="59"/>
      <c r="H261" s="59"/>
      <c r="I261" s="59"/>
      <c r="J261" s="59"/>
      <c r="K261" s="59"/>
      <c r="L261" s="59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</row>
    <row r="262">
      <c r="A262" s="57"/>
      <c r="B262" s="57"/>
      <c r="C262" s="57"/>
      <c r="D262" s="57"/>
      <c r="E262" s="58"/>
      <c r="F262" s="57"/>
      <c r="G262" s="59"/>
      <c r="H262" s="59"/>
      <c r="I262" s="59"/>
      <c r="J262" s="59"/>
      <c r="K262" s="59"/>
      <c r="L262" s="59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</row>
    <row r="263">
      <c r="A263" s="57"/>
      <c r="B263" s="57"/>
      <c r="C263" s="57"/>
      <c r="D263" s="57"/>
      <c r="E263" s="58"/>
      <c r="F263" s="57"/>
      <c r="G263" s="59"/>
      <c r="H263" s="59"/>
      <c r="I263" s="59"/>
      <c r="J263" s="59"/>
      <c r="K263" s="59"/>
      <c r="L263" s="59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</row>
    <row r="264">
      <c r="A264" s="57"/>
      <c r="B264" s="57"/>
      <c r="C264" s="57"/>
      <c r="D264" s="57"/>
      <c r="E264" s="58"/>
      <c r="F264" s="57"/>
      <c r="G264" s="59"/>
      <c r="H264" s="59"/>
      <c r="I264" s="59"/>
      <c r="J264" s="59"/>
      <c r="K264" s="59"/>
      <c r="L264" s="59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</row>
    <row r="265">
      <c r="A265" s="57"/>
      <c r="B265" s="57"/>
      <c r="C265" s="57"/>
      <c r="D265" s="57"/>
      <c r="E265" s="58"/>
      <c r="F265" s="57"/>
      <c r="G265" s="59"/>
      <c r="H265" s="59"/>
      <c r="I265" s="59"/>
      <c r="J265" s="59"/>
      <c r="K265" s="59"/>
      <c r="L265" s="59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</row>
    <row r="266">
      <c r="A266" s="57"/>
      <c r="B266" s="57"/>
      <c r="C266" s="57"/>
      <c r="D266" s="57"/>
      <c r="E266" s="58"/>
      <c r="F266" s="57"/>
      <c r="G266" s="59"/>
      <c r="H266" s="59"/>
      <c r="I266" s="59"/>
      <c r="J266" s="59"/>
      <c r="K266" s="59"/>
      <c r="L266" s="59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</row>
    <row r="267">
      <c r="A267" s="57"/>
      <c r="B267" s="57"/>
      <c r="C267" s="57"/>
      <c r="D267" s="57"/>
      <c r="E267" s="58"/>
      <c r="F267" s="57"/>
      <c r="G267" s="59"/>
      <c r="H267" s="59"/>
      <c r="I267" s="59"/>
      <c r="J267" s="59"/>
      <c r="K267" s="59"/>
      <c r="L267" s="59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</row>
    <row r="268">
      <c r="A268" s="57"/>
      <c r="B268" s="57"/>
      <c r="C268" s="57"/>
      <c r="D268" s="57"/>
      <c r="E268" s="58"/>
      <c r="F268" s="57"/>
      <c r="G268" s="59"/>
      <c r="H268" s="59"/>
      <c r="I268" s="59"/>
      <c r="J268" s="59"/>
      <c r="K268" s="59"/>
      <c r="L268" s="59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</row>
    <row r="269">
      <c r="A269" s="57"/>
      <c r="B269" s="57"/>
      <c r="C269" s="57"/>
      <c r="D269" s="57"/>
      <c r="E269" s="58"/>
      <c r="F269" s="57"/>
      <c r="G269" s="59"/>
      <c r="H269" s="59"/>
      <c r="I269" s="59"/>
      <c r="J269" s="59"/>
      <c r="K269" s="59"/>
      <c r="L269" s="59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</row>
    <row r="270">
      <c r="A270" s="57"/>
      <c r="B270" s="57"/>
      <c r="C270" s="57"/>
      <c r="D270" s="57"/>
      <c r="E270" s="58"/>
      <c r="F270" s="57"/>
      <c r="G270" s="59"/>
      <c r="H270" s="59"/>
      <c r="I270" s="59"/>
      <c r="J270" s="59"/>
      <c r="K270" s="59"/>
      <c r="L270" s="59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</row>
    <row r="271">
      <c r="A271" s="57"/>
      <c r="B271" s="57"/>
      <c r="C271" s="57"/>
      <c r="D271" s="57"/>
      <c r="E271" s="58"/>
      <c r="F271" s="57"/>
      <c r="G271" s="59"/>
      <c r="H271" s="59"/>
      <c r="I271" s="59"/>
      <c r="J271" s="59"/>
      <c r="K271" s="59"/>
      <c r="L271" s="59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</row>
    <row r="272">
      <c r="A272" s="57"/>
      <c r="B272" s="57"/>
      <c r="C272" s="57"/>
      <c r="D272" s="57"/>
      <c r="E272" s="58"/>
      <c r="F272" s="57"/>
      <c r="G272" s="59"/>
      <c r="H272" s="59"/>
      <c r="I272" s="59"/>
      <c r="J272" s="59"/>
      <c r="K272" s="59"/>
      <c r="L272" s="59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</row>
    <row r="273">
      <c r="A273" s="57"/>
      <c r="B273" s="57"/>
      <c r="C273" s="57"/>
      <c r="D273" s="57"/>
      <c r="E273" s="58"/>
      <c r="F273" s="57"/>
      <c r="G273" s="59"/>
      <c r="H273" s="59"/>
      <c r="I273" s="59"/>
      <c r="J273" s="59"/>
      <c r="K273" s="59"/>
      <c r="L273" s="59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</row>
    <row r="274">
      <c r="A274" s="57"/>
      <c r="B274" s="57"/>
      <c r="C274" s="57"/>
      <c r="D274" s="57"/>
      <c r="E274" s="58"/>
      <c r="F274" s="57"/>
      <c r="G274" s="59"/>
      <c r="H274" s="59"/>
      <c r="I274" s="59"/>
      <c r="J274" s="59"/>
      <c r="K274" s="59"/>
      <c r="L274" s="59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</row>
    <row r="275">
      <c r="A275" s="57"/>
      <c r="B275" s="57"/>
      <c r="C275" s="57"/>
      <c r="D275" s="57"/>
      <c r="E275" s="58"/>
      <c r="F275" s="57"/>
      <c r="G275" s="59"/>
      <c r="H275" s="59"/>
      <c r="I275" s="59"/>
      <c r="J275" s="59"/>
      <c r="K275" s="59"/>
      <c r="L275" s="59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</row>
    <row r="276">
      <c r="A276" s="57"/>
      <c r="B276" s="57"/>
      <c r="C276" s="57"/>
      <c r="D276" s="57"/>
      <c r="E276" s="58"/>
      <c r="F276" s="57"/>
      <c r="G276" s="59"/>
      <c r="H276" s="59"/>
      <c r="I276" s="59"/>
      <c r="J276" s="59"/>
      <c r="K276" s="59"/>
      <c r="L276" s="59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</row>
    <row r="277">
      <c r="A277" s="57"/>
      <c r="B277" s="57"/>
      <c r="C277" s="57"/>
      <c r="D277" s="57"/>
      <c r="E277" s="58"/>
      <c r="F277" s="57"/>
      <c r="G277" s="59"/>
      <c r="H277" s="59"/>
      <c r="I277" s="59"/>
      <c r="J277" s="59"/>
      <c r="K277" s="59"/>
      <c r="L277" s="59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</row>
    <row r="278">
      <c r="A278" s="57"/>
      <c r="B278" s="57"/>
      <c r="C278" s="57"/>
      <c r="D278" s="57"/>
      <c r="E278" s="58"/>
      <c r="F278" s="57"/>
      <c r="G278" s="59"/>
      <c r="H278" s="59"/>
      <c r="I278" s="59"/>
      <c r="J278" s="59"/>
      <c r="K278" s="59"/>
      <c r="L278" s="59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</row>
    <row r="279">
      <c r="A279" s="57"/>
      <c r="B279" s="57"/>
      <c r="C279" s="57"/>
      <c r="D279" s="57"/>
      <c r="E279" s="58"/>
      <c r="F279" s="57"/>
      <c r="G279" s="59"/>
      <c r="H279" s="59"/>
      <c r="I279" s="59"/>
      <c r="J279" s="59"/>
      <c r="K279" s="59"/>
      <c r="L279" s="59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</row>
    <row r="280">
      <c r="A280" s="57"/>
      <c r="B280" s="57"/>
      <c r="C280" s="57"/>
      <c r="D280" s="57"/>
      <c r="E280" s="58"/>
      <c r="F280" s="57"/>
      <c r="G280" s="59"/>
      <c r="H280" s="59"/>
      <c r="I280" s="59"/>
      <c r="J280" s="59"/>
      <c r="K280" s="59"/>
      <c r="L280" s="59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</row>
    <row r="281">
      <c r="A281" s="57"/>
      <c r="B281" s="57"/>
      <c r="C281" s="57"/>
      <c r="D281" s="57"/>
      <c r="E281" s="58"/>
      <c r="F281" s="57"/>
      <c r="G281" s="59"/>
      <c r="H281" s="59"/>
      <c r="I281" s="59"/>
      <c r="J281" s="59"/>
      <c r="K281" s="59"/>
      <c r="L281" s="59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</row>
    <row r="282">
      <c r="A282" s="57"/>
      <c r="B282" s="57"/>
      <c r="C282" s="57"/>
      <c r="D282" s="57"/>
      <c r="E282" s="58"/>
      <c r="F282" s="57"/>
      <c r="G282" s="59"/>
      <c r="H282" s="59"/>
      <c r="I282" s="59"/>
      <c r="J282" s="59"/>
      <c r="K282" s="59"/>
      <c r="L282" s="59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</row>
    <row r="283">
      <c r="A283" s="57"/>
      <c r="B283" s="57"/>
      <c r="C283" s="57"/>
      <c r="D283" s="57"/>
      <c r="E283" s="58"/>
      <c r="F283" s="57"/>
      <c r="G283" s="59"/>
      <c r="H283" s="59"/>
      <c r="I283" s="59"/>
      <c r="J283" s="59"/>
      <c r="K283" s="59"/>
      <c r="L283" s="59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</row>
    <row r="284">
      <c r="A284" s="57"/>
      <c r="B284" s="57"/>
      <c r="C284" s="57"/>
      <c r="D284" s="57"/>
      <c r="E284" s="58"/>
      <c r="F284" s="57"/>
      <c r="G284" s="59"/>
      <c r="H284" s="59"/>
      <c r="I284" s="59"/>
      <c r="J284" s="59"/>
      <c r="K284" s="59"/>
      <c r="L284" s="59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</row>
    <row r="285">
      <c r="A285" s="57"/>
      <c r="B285" s="57"/>
      <c r="C285" s="57"/>
      <c r="D285" s="57"/>
      <c r="E285" s="58"/>
      <c r="F285" s="57"/>
      <c r="G285" s="59"/>
      <c r="H285" s="59"/>
      <c r="I285" s="59"/>
      <c r="J285" s="59"/>
      <c r="K285" s="59"/>
      <c r="L285" s="59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</row>
    <row r="286">
      <c r="A286" s="57"/>
      <c r="B286" s="57"/>
      <c r="C286" s="57"/>
      <c r="D286" s="57"/>
      <c r="E286" s="58"/>
      <c r="F286" s="57"/>
      <c r="G286" s="59"/>
      <c r="H286" s="59"/>
      <c r="I286" s="59"/>
      <c r="J286" s="59"/>
      <c r="K286" s="59"/>
      <c r="L286" s="59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</row>
    <row r="287">
      <c r="A287" s="57"/>
      <c r="B287" s="57"/>
      <c r="C287" s="57"/>
      <c r="D287" s="57"/>
      <c r="E287" s="58"/>
      <c r="F287" s="57"/>
      <c r="G287" s="59"/>
      <c r="H287" s="59"/>
      <c r="I287" s="59"/>
      <c r="J287" s="59"/>
      <c r="K287" s="59"/>
      <c r="L287" s="59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</row>
    <row r="288">
      <c r="A288" s="57"/>
      <c r="B288" s="57"/>
      <c r="C288" s="57"/>
      <c r="D288" s="57"/>
      <c r="E288" s="58"/>
      <c r="F288" s="57"/>
      <c r="G288" s="59"/>
      <c r="H288" s="59"/>
      <c r="I288" s="59"/>
      <c r="J288" s="59"/>
      <c r="K288" s="59"/>
      <c r="L288" s="59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</row>
    <row r="289">
      <c r="A289" s="57"/>
      <c r="B289" s="57"/>
      <c r="C289" s="57"/>
      <c r="D289" s="57"/>
      <c r="E289" s="58"/>
      <c r="F289" s="57"/>
      <c r="G289" s="59"/>
      <c r="H289" s="59"/>
      <c r="I289" s="59"/>
      <c r="J289" s="59"/>
      <c r="K289" s="59"/>
      <c r="L289" s="59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</row>
    <row r="290">
      <c r="A290" s="57"/>
      <c r="B290" s="57"/>
      <c r="C290" s="57"/>
      <c r="D290" s="57"/>
      <c r="E290" s="58"/>
      <c r="F290" s="57"/>
      <c r="G290" s="59"/>
      <c r="H290" s="59"/>
      <c r="I290" s="59"/>
      <c r="J290" s="59"/>
      <c r="K290" s="59"/>
      <c r="L290" s="59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</row>
    <row r="291">
      <c r="A291" s="57"/>
      <c r="B291" s="57"/>
      <c r="C291" s="57"/>
      <c r="D291" s="57"/>
      <c r="E291" s="58"/>
      <c r="F291" s="57"/>
      <c r="G291" s="59"/>
      <c r="H291" s="59"/>
      <c r="I291" s="59"/>
      <c r="J291" s="59"/>
      <c r="K291" s="59"/>
      <c r="L291" s="59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</row>
    <row r="292">
      <c r="A292" s="57"/>
      <c r="B292" s="57"/>
      <c r="C292" s="57"/>
      <c r="D292" s="57"/>
      <c r="E292" s="58"/>
      <c r="F292" s="57"/>
      <c r="G292" s="59"/>
      <c r="H292" s="59"/>
      <c r="I292" s="59"/>
      <c r="J292" s="59"/>
      <c r="K292" s="59"/>
      <c r="L292" s="59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</row>
    <row r="293">
      <c r="A293" s="57"/>
      <c r="B293" s="57"/>
      <c r="C293" s="57"/>
      <c r="D293" s="57"/>
      <c r="E293" s="58"/>
      <c r="F293" s="57"/>
      <c r="G293" s="59"/>
      <c r="H293" s="59"/>
      <c r="I293" s="59"/>
      <c r="J293" s="59"/>
      <c r="K293" s="59"/>
      <c r="L293" s="59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</row>
    <row r="294">
      <c r="A294" s="57"/>
      <c r="B294" s="57"/>
      <c r="C294" s="57"/>
      <c r="D294" s="57"/>
      <c r="E294" s="58"/>
      <c r="F294" s="57"/>
      <c r="G294" s="59"/>
      <c r="H294" s="59"/>
      <c r="I294" s="59"/>
      <c r="J294" s="59"/>
      <c r="K294" s="59"/>
      <c r="L294" s="59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</row>
    <row r="295">
      <c r="A295" s="57"/>
      <c r="B295" s="57"/>
      <c r="C295" s="57"/>
      <c r="D295" s="57"/>
      <c r="E295" s="58"/>
      <c r="F295" s="57"/>
      <c r="G295" s="59"/>
      <c r="H295" s="59"/>
      <c r="I295" s="59"/>
      <c r="J295" s="59"/>
      <c r="K295" s="59"/>
      <c r="L295" s="59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</row>
    <row r="296">
      <c r="A296" s="57"/>
      <c r="B296" s="57"/>
      <c r="C296" s="57"/>
      <c r="D296" s="57"/>
      <c r="E296" s="58"/>
      <c r="F296" s="57"/>
      <c r="G296" s="59"/>
      <c r="H296" s="59"/>
      <c r="I296" s="59"/>
      <c r="J296" s="59"/>
      <c r="K296" s="59"/>
      <c r="L296" s="59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</row>
    <row r="297">
      <c r="A297" s="57"/>
      <c r="B297" s="57"/>
      <c r="C297" s="57"/>
      <c r="D297" s="57"/>
      <c r="E297" s="58"/>
      <c r="F297" s="57"/>
      <c r="G297" s="59"/>
      <c r="H297" s="59"/>
      <c r="I297" s="59"/>
      <c r="J297" s="59"/>
      <c r="K297" s="59"/>
      <c r="L297" s="59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</row>
    <row r="298">
      <c r="A298" s="57"/>
      <c r="B298" s="57"/>
      <c r="C298" s="57"/>
      <c r="D298" s="57"/>
      <c r="E298" s="58"/>
      <c r="F298" s="57"/>
      <c r="G298" s="59"/>
      <c r="H298" s="59"/>
      <c r="I298" s="59"/>
      <c r="J298" s="59"/>
      <c r="K298" s="59"/>
      <c r="L298" s="59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</row>
    <row r="299">
      <c r="A299" s="57"/>
      <c r="B299" s="57"/>
      <c r="C299" s="57"/>
      <c r="D299" s="57"/>
      <c r="E299" s="58"/>
      <c r="F299" s="57"/>
      <c r="G299" s="59"/>
      <c r="H299" s="59"/>
      <c r="I299" s="59"/>
      <c r="J299" s="59"/>
      <c r="K299" s="59"/>
      <c r="L299" s="59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</row>
    <row r="300">
      <c r="A300" s="57"/>
      <c r="B300" s="57"/>
      <c r="C300" s="57"/>
      <c r="D300" s="57"/>
      <c r="E300" s="58"/>
      <c r="F300" s="57"/>
      <c r="G300" s="59"/>
      <c r="H300" s="59"/>
      <c r="I300" s="59"/>
      <c r="J300" s="59"/>
      <c r="K300" s="59"/>
      <c r="L300" s="59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</row>
    <row r="301">
      <c r="A301" s="57"/>
      <c r="B301" s="57"/>
      <c r="C301" s="57"/>
      <c r="D301" s="57"/>
      <c r="E301" s="58"/>
      <c r="F301" s="57"/>
      <c r="G301" s="59"/>
      <c r="H301" s="59"/>
      <c r="I301" s="59"/>
      <c r="J301" s="59"/>
      <c r="K301" s="59"/>
      <c r="L301" s="59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</row>
    <row r="302">
      <c r="A302" s="57"/>
      <c r="B302" s="57"/>
      <c r="C302" s="57"/>
      <c r="D302" s="57"/>
      <c r="E302" s="58"/>
      <c r="F302" s="57"/>
      <c r="G302" s="59"/>
      <c r="H302" s="59"/>
      <c r="I302" s="59"/>
      <c r="J302" s="59"/>
      <c r="K302" s="59"/>
      <c r="L302" s="59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</row>
    <row r="303">
      <c r="A303" s="57"/>
      <c r="B303" s="57"/>
      <c r="C303" s="57"/>
      <c r="D303" s="57"/>
      <c r="E303" s="58"/>
      <c r="F303" s="57"/>
      <c r="G303" s="59"/>
      <c r="H303" s="59"/>
      <c r="I303" s="59"/>
      <c r="J303" s="59"/>
      <c r="K303" s="59"/>
      <c r="L303" s="59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</row>
    <row r="304">
      <c r="A304" s="57"/>
      <c r="B304" s="57"/>
      <c r="C304" s="57"/>
      <c r="D304" s="57"/>
      <c r="E304" s="58"/>
      <c r="F304" s="57"/>
      <c r="G304" s="59"/>
      <c r="H304" s="59"/>
      <c r="I304" s="59"/>
      <c r="J304" s="59"/>
      <c r="K304" s="59"/>
      <c r="L304" s="59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</row>
    <row r="305">
      <c r="A305" s="57"/>
      <c r="B305" s="57"/>
      <c r="C305" s="57"/>
      <c r="D305" s="57"/>
      <c r="E305" s="58"/>
      <c r="F305" s="57"/>
      <c r="G305" s="59"/>
      <c r="H305" s="59"/>
      <c r="I305" s="59"/>
      <c r="J305" s="59"/>
      <c r="K305" s="59"/>
      <c r="L305" s="59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</row>
    <row r="306">
      <c r="A306" s="57"/>
      <c r="B306" s="57"/>
      <c r="C306" s="57"/>
      <c r="D306" s="57"/>
      <c r="E306" s="58"/>
      <c r="F306" s="57"/>
      <c r="G306" s="59"/>
      <c r="H306" s="59"/>
      <c r="I306" s="59"/>
      <c r="J306" s="59"/>
      <c r="K306" s="59"/>
      <c r="L306" s="59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</row>
    <row r="307">
      <c r="A307" s="57"/>
      <c r="B307" s="57"/>
      <c r="C307" s="57"/>
      <c r="D307" s="57"/>
      <c r="E307" s="58"/>
      <c r="F307" s="57"/>
      <c r="G307" s="59"/>
      <c r="H307" s="59"/>
      <c r="I307" s="59"/>
      <c r="J307" s="59"/>
      <c r="K307" s="59"/>
      <c r="L307" s="59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</row>
    <row r="308">
      <c r="A308" s="57"/>
      <c r="B308" s="57"/>
      <c r="C308" s="57"/>
      <c r="D308" s="57"/>
      <c r="E308" s="58"/>
      <c r="F308" s="57"/>
      <c r="G308" s="59"/>
      <c r="H308" s="59"/>
      <c r="I308" s="59"/>
      <c r="J308" s="59"/>
      <c r="K308" s="59"/>
      <c r="L308" s="59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</row>
    <row r="309">
      <c r="A309" s="57"/>
      <c r="B309" s="57"/>
      <c r="C309" s="57"/>
      <c r="D309" s="57"/>
      <c r="E309" s="58"/>
      <c r="F309" s="57"/>
      <c r="G309" s="59"/>
      <c r="H309" s="59"/>
      <c r="I309" s="59"/>
      <c r="J309" s="59"/>
      <c r="K309" s="59"/>
      <c r="L309" s="59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</row>
    <row r="310">
      <c r="A310" s="57"/>
      <c r="B310" s="57"/>
      <c r="C310" s="57"/>
      <c r="D310" s="57"/>
      <c r="E310" s="58"/>
      <c r="F310" s="57"/>
      <c r="G310" s="59"/>
      <c r="H310" s="59"/>
      <c r="I310" s="59"/>
      <c r="J310" s="59"/>
      <c r="K310" s="59"/>
      <c r="L310" s="59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</row>
    <row r="311">
      <c r="A311" s="57"/>
      <c r="B311" s="57"/>
      <c r="C311" s="57"/>
      <c r="D311" s="57"/>
      <c r="E311" s="58"/>
      <c r="F311" s="57"/>
      <c r="G311" s="59"/>
      <c r="H311" s="59"/>
      <c r="I311" s="59"/>
      <c r="J311" s="59"/>
      <c r="K311" s="59"/>
      <c r="L311" s="59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</row>
    <row r="312">
      <c r="A312" s="57"/>
      <c r="B312" s="57"/>
      <c r="C312" s="57"/>
      <c r="D312" s="57"/>
      <c r="E312" s="58"/>
      <c r="F312" s="57"/>
      <c r="G312" s="59"/>
      <c r="H312" s="59"/>
      <c r="I312" s="59"/>
      <c r="J312" s="59"/>
      <c r="K312" s="59"/>
      <c r="L312" s="59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</row>
    <row r="313">
      <c r="A313" s="57"/>
      <c r="B313" s="57"/>
      <c r="C313" s="57"/>
      <c r="D313" s="57"/>
      <c r="E313" s="58"/>
      <c r="F313" s="57"/>
      <c r="G313" s="59"/>
      <c r="H313" s="59"/>
      <c r="I313" s="59"/>
      <c r="J313" s="59"/>
      <c r="K313" s="59"/>
      <c r="L313" s="59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</row>
    <row r="314">
      <c r="A314" s="57"/>
      <c r="B314" s="57"/>
      <c r="C314" s="57"/>
      <c r="D314" s="57"/>
      <c r="E314" s="58"/>
      <c r="F314" s="57"/>
      <c r="G314" s="59"/>
      <c r="H314" s="59"/>
      <c r="I314" s="59"/>
      <c r="J314" s="59"/>
      <c r="K314" s="59"/>
      <c r="L314" s="59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</row>
    <row r="315">
      <c r="A315" s="57"/>
      <c r="B315" s="57"/>
      <c r="C315" s="57"/>
      <c r="D315" s="57"/>
      <c r="E315" s="58"/>
      <c r="F315" s="57"/>
      <c r="G315" s="59"/>
      <c r="H315" s="59"/>
      <c r="I315" s="59"/>
      <c r="J315" s="59"/>
      <c r="K315" s="59"/>
      <c r="L315" s="59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</row>
    <row r="316">
      <c r="A316" s="57"/>
      <c r="B316" s="57"/>
      <c r="C316" s="57"/>
      <c r="D316" s="57"/>
      <c r="E316" s="58"/>
      <c r="F316" s="57"/>
      <c r="G316" s="59"/>
      <c r="H316" s="59"/>
      <c r="I316" s="59"/>
      <c r="J316" s="59"/>
      <c r="K316" s="59"/>
      <c r="L316" s="59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</row>
    <row r="317">
      <c r="A317" s="57"/>
      <c r="B317" s="57"/>
      <c r="C317" s="57"/>
      <c r="D317" s="57"/>
      <c r="E317" s="58"/>
      <c r="F317" s="57"/>
      <c r="G317" s="59"/>
      <c r="H317" s="59"/>
      <c r="I317" s="59"/>
      <c r="J317" s="59"/>
      <c r="K317" s="59"/>
      <c r="L317" s="59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</row>
    <row r="318">
      <c r="A318" s="57"/>
      <c r="B318" s="57"/>
      <c r="C318" s="57"/>
      <c r="D318" s="57"/>
      <c r="E318" s="58"/>
      <c r="F318" s="57"/>
      <c r="G318" s="59"/>
      <c r="H318" s="59"/>
      <c r="I318" s="59"/>
      <c r="J318" s="59"/>
      <c r="K318" s="59"/>
      <c r="L318" s="59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</row>
    <row r="319">
      <c r="A319" s="57"/>
      <c r="B319" s="57"/>
      <c r="C319" s="57"/>
      <c r="D319" s="57"/>
      <c r="E319" s="58"/>
      <c r="F319" s="57"/>
      <c r="G319" s="59"/>
      <c r="H319" s="59"/>
      <c r="I319" s="59"/>
      <c r="J319" s="59"/>
      <c r="K319" s="59"/>
      <c r="L319" s="59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</row>
    <row r="320">
      <c r="A320" s="57"/>
      <c r="B320" s="57"/>
      <c r="C320" s="57"/>
      <c r="D320" s="57"/>
      <c r="E320" s="58"/>
      <c r="F320" s="57"/>
      <c r="G320" s="59"/>
      <c r="H320" s="59"/>
      <c r="I320" s="59"/>
      <c r="J320" s="59"/>
      <c r="K320" s="59"/>
      <c r="L320" s="59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</row>
    <row r="321">
      <c r="A321" s="57"/>
      <c r="B321" s="57"/>
      <c r="C321" s="57"/>
      <c r="D321" s="57"/>
      <c r="E321" s="58"/>
      <c r="F321" s="57"/>
      <c r="G321" s="59"/>
      <c r="H321" s="59"/>
      <c r="I321" s="59"/>
      <c r="J321" s="59"/>
      <c r="K321" s="59"/>
      <c r="L321" s="59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</row>
    <row r="322">
      <c r="A322" s="57"/>
      <c r="B322" s="57"/>
      <c r="C322" s="57"/>
      <c r="D322" s="57"/>
      <c r="E322" s="58"/>
      <c r="F322" s="57"/>
      <c r="G322" s="59"/>
      <c r="H322" s="59"/>
      <c r="I322" s="59"/>
      <c r="J322" s="59"/>
      <c r="K322" s="59"/>
      <c r="L322" s="59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</row>
    <row r="323">
      <c r="A323" s="57"/>
      <c r="B323" s="57"/>
      <c r="C323" s="57"/>
      <c r="D323" s="57"/>
      <c r="E323" s="58"/>
      <c r="F323" s="57"/>
      <c r="G323" s="59"/>
      <c r="H323" s="59"/>
      <c r="I323" s="59"/>
      <c r="J323" s="59"/>
      <c r="K323" s="59"/>
      <c r="L323" s="59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</row>
    <row r="324">
      <c r="A324" s="57"/>
      <c r="B324" s="57"/>
      <c r="C324" s="57"/>
      <c r="D324" s="57"/>
      <c r="E324" s="58"/>
      <c r="F324" s="57"/>
      <c r="G324" s="59"/>
      <c r="H324" s="59"/>
      <c r="I324" s="59"/>
      <c r="J324" s="59"/>
      <c r="K324" s="59"/>
      <c r="L324" s="59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</row>
    <row r="325">
      <c r="A325" s="57"/>
      <c r="B325" s="57"/>
      <c r="C325" s="57"/>
      <c r="D325" s="57"/>
      <c r="E325" s="58"/>
      <c r="F325" s="57"/>
      <c r="G325" s="59"/>
      <c r="H325" s="59"/>
      <c r="I325" s="59"/>
      <c r="J325" s="59"/>
      <c r="K325" s="59"/>
      <c r="L325" s="59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</row>
    <row r="326">
      <c r="A326" s="57"/>
      <c r="B326" s="57"/>
      <c r="C326" s="57"/>
      <c r="D326" s="57"/>
      <c r="E326" s="58"/>
      <c r="F326" s="57"/>
      <c r="G326" s="59"/>
      <c r="H326" s="59"/>
      <c r="I326" s="59"/>
      <c r="J326" s="59"/>
      <c r="K326" s="59"/>
      <c r="L326" s="59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</row>
    <row r="327">
      <c r="A327" s="57"/>
      <c r="B327" s="57"/>
      <c r="C327" s="57"/>
      <c r="D327" s="57"/>
      <c r="E327" s="58"/>
      <c r="F327" s="57"/>
      <c r="G327" s="59"/>
      <c r="H327" s="59"/>
      <c r="I327" s="59"/>
      <c r="J327" s="59"/>
      <c r="K327" s="59"/>
      <c r="L327" s="59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</row>
    <row r="328">
      <c r="A328" s="57"/>
      <c r="B328" s="57"/>
      <c r="C328" s="57"/>
      <c r="D328" s="57"/>
      <c r="E328" s="58"/>
      <c r="F328" s="57"/>
      <c r="G328" s="59"/>
      <c r="H328" s="59"/>
      <c r="I328" s="59"/>
      <c r="J328" s="59"/>
      <c r="K328" s="59"/>
      <c r="L328" s="59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</row>
    <row r="329">
      <c r="A329" s="57"/>
      <c r="B329" s="57"/>
      <c r="C329" s="57"/>
      <c r="D329" s="57"/>
      <c r="E329" s="58"/>
      <c r="F329" s="57"/>
      <c r="G329" s="59"/>
      <c r="H329" s="59"/>
      <c r="I329" s="59"/>
      <c r="J329" s="59"/>
      <c r="K329" s="59"/>
      <c r="L329" s="59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</row>
    <row r="330">
      <c r="A330" s="57"/>
      <c r="B330" s="57"/>
      <c r="C330" s="57"/>
      <c r="D330" s="57"/>
      <c r="E330" s="58"/>
      <c r="F330" s="57"/>
      <c r="G330" s="59"/>
      <c r="H330" s="59"/>
      <c r="I330" s="59"/>
      <c r="J330" s="59"/>
      <c r="K330" s="59"/>
      <c r="L330" s="59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</row>
    <row r="331">
      <c r="A331" s="57"/>
      <c r="B331" s="57"/>
      <c r="C331" s="57"/>
      <c r="D331" s="57"/>
      <c r="E331" s="58"/>
      <c r="F331" s="57"/>
      <c r="G331" s="59"/>
      <c r="H331" s="59"/>
      <c r="I331" s="59"/>
      <c r="J331" s="59"/>
      <c r="K331" s="59"/>
      <c r="L331" s="59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</row>
    <row r="332">
      <c r="A332" s="57"/>
      <c r="B332" s="57"/>
      <c r="C332" s="57"/>
      <c r="D332" s="57"/>
      <c r="E332" s="58"/>
      <c r="F332" s="57"/>
      <c r="G332" s="59"/>
      <c r="H332" s="59"/>
      <c r="I332" s="59"/>
      <c r="J332" s="59"/>
      <c r="K332" s="59"/>
      <c r="L332" s="59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</row>
    <row r="333">
      <c r="A333" s="57"/>
      <c r="B333" s="57"/>
      <c r="C333" s="57"/>
      <c r="D333" s="57"/>
      <c r="E333" s="58"/>
      <c r="F333" s="57"/>
      <c r="G333" s="59"/>
      <c r="H333" s="59"/>
      <c r="I333" s="59"/>
      <c r="J333" s="59"/>
      <c r="K333" s="59"/>
      <c r="L333" s="59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</row>
    <row r="334">
      <c r="A334" s="57"/>
      <c r="B334" s="57"/>
      <c r="C334" s="57"/>
      <c r="D334" s="57"/>
      <c r="E334" s="58"/>
      <c r="F334" s="57"/>
      <c r="G334" s="59"/>
      <c r="H334" s="59"/>
      <c r="I334" s="59"/>
      <c r="J334" s="59"/>
      <c r="K334" s="59"/>
      <c r="L334" s="59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</row>
    <row r="335">
      <c r="A335" s="57"/>
      <c r="B335" s="57"/>
      <c r="C335" s="57"/>
      <c r="D335" s="57"/>
      <c r="E335" s="58"/>
      <c r="F335" s="57"/>
      <c r="G335" s="59"/>
      <c r="H335" s="59"/>
      <c r="I335" s="59"/>
      <c r="J335" s="59"/>
      <c r="K335" s="59"/>
      <c r="L335" s="59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</row>
    <row r="336">
      <c r="A336" s="57"/>
      <c r="B336" s="57"/>
      <c r="C336" s="57"/>
      <c r="D336" s="57"/>
      <c r="E336" s="58"/>
      <c r="F336" s="57"/>
      <c r="G336" s="59"/>
      <c r="H336" s="59"/>
      <c r="I336" s="59"/>
      <c r="J336" s="59"/>
      <c r="K336" s="59"/>
      <c r="L336" s="59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</row>
    <row r="337">
      <c r="A337" s="57"/>
      <c r="B337" s="57"/>
      <c r="C337" s="57"/>
      <c r="D337" s="57"/>
      <c r="E337" s="58"/>
      <c r="F337" s="57"/>
      <c r="G337" s="59"/>
      <c r="H337" s="59"/>
      <c r="I337" s="59"/>
      <c r="J337" s="59"/>
      <c r="K337" s="59"/>
      <c r="L337" s="59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</row>
    <row r="338">
      <c r="A338" s="57"/>
      <c r="B338" s="57"/>
      <c r="C338" s="57"/>
      <c r="D338" s="57"/>
      <c r="E338" s="58"/>
      <c r="F338" s="57"/>
      <c r="G338" s="59"/>
      <c r="H338" s="59"/>
      <c r="I338" s="59"/>
      <c r="J338" s="59"/>
      <c r="K338" s="59"/>
      <c r="L338" s="59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</row>
    <row r="339">
      <c r="A339" s="57"/>
      <c r="B339" s="57"/>
      <c r="C339" s="57"/>
      <c r="D339" s="57"/>
      <c r="E339" s="58"/>
      <c r="F339" s="57"/>
      <c r="G339" s="59"/>
      <c r="H339" s="59"/>
      <c r="I339" s="59"/>
      <c r="J339" s="59"/>
      <c r="K339" s="59"/>
      <c r="L339" s="59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</row>
    <row r="340">
      <c r="A340" s="57"/>
      <c r="B340" s="57"/>
      <c r="C340" s="57"/>
      <c r="D340" s="57"/>
      <c r="E340" s="58"/>
      <c r="F340" s="57"/>
      <c r="G340" s="59"/>
      <c r="H340" s="59"/>
      <c r="I340" s="59"/>
      <c r="J340" s="59"/>
      <c r="K340" s="59"/>
      <c r="L340" s="59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</row>
    <row r="341">
      <c r="A341" s="57"/>
      <c r="B341" s="57"/>
      <c r="C341" s="57"/>
      <c r="D341" s="57"/>
      <c r="E341" s="58"/>
      <c r="F341" s="57"/>
      <c r="G341" s="59"/>
      <c r="H341" s="59"/>
      <c r="I341" s="59"/>
      <c r="J341" s="59"/>
      <c r="K341" s="59"/>
      <c r="L341" s="59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</row>
    <row r="342">
      <c r="A342" s="57"/>
      <c r="B342" s="57"/>
      <c r="C342" s="57"/>
      <c r="D342" s="57"/>
      <c r="E342" s="58"/>
      <c r="F342" s="57"/>
      <c r="G342" s="59"/>
      <c r="H342" s="59"/>
      <c r="I342" s="59"/>
      <c r="J342" s="59"/>
      <c r="K342" s="59"/>
      <c r="L342" s="59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</row>
    <row r="343">
      <c r="A343" s="57"/>
      <c r="B343" s="57"/>
      <c r="C343" s="57"/>
      <c r="D343" s="57"/>
      <c r="E343" s="58"/>
      <c r="F343" s="57"/>
      <c r="G343" s="59"/>
      <c r="H343" s="59"/>
      <c r="I343" s="59"/>
      <c r="J343" s="59"/>
      <c r="K343" s="59"/>
      <c r="L343" s="59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</row>
    <row r="344">
      <c r="A344" s="57"/>
      <c r="B344" s="57"/>
      <c r="C344" s="57"/>
      <c r="D344" s="57"/>
      <c r="E344" s="58"/>
      <c r="F344" s="57"/>
      <c r="G344" s="59"/>
      <c r="H344" s="59"/>
      <c r="I344" s="59"/>
      <c r="J344" s="59"/>
      <c r="K344" s="59"/>
      <c r="L344" s="59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</row>
    <row r="345">
      <c r="A345" s="57"/>
      <c r="B345" s="57"/>
      <c r="C345" s="57"/>
      <c r="D345" s="57"/>
      <c r="E345" s="58"/>
      <c r="F345" s="57"/>
      <c r="G345" s="59"/>
      <c r="H345" s="59"/>
      <c r="I345" s="59"/>
      <c r="J345" s="59"/>
      <c r="K345" s="59"/>
      <c r="L345" s="59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</row>
    <row r="346">
      <c r="A346" s="57"/>
      <c r="B346" s="57"/>
      <c r="C346" s="57"/>
      <c r="D346" s="57"/>
      <c r="E346" s="58"/>
      <c r="F346" s="57"/>
      <c r="G346" s="59"/>
      <c r="H346" s="59"/>
      <c r="I346" s="59"/>
      <c r="J346" s="59"/>
      <c r="K346" s="59"/>
      <c r="L346" s="59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</row>
    <row r="347">
      <c r="A347" s="57"/>
      <c r="B347" s="57"/>
      <c r="C347" s="57"/>
      <c r="D347" s="57"/>
      <c r="E347" s="58"/>
      <c r="F347" s="57"/>
      <c r="G347" s="59"/>
      <c r="H347" s="59"/>
      <c r="I347" s="59"/>
      <c r="J347" s="59"/>
      <c r="K347" s="59"/>
      <c r="L347" s="59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</row>
    <row r="348">
      <c r="A348" s="57"/>
      <c r="B348" s="57"/>
      <c r="C348" s="57"/>
      <c r="D348" s="57"/>
      <c r="E348" s="58"/>
      <c r="F348" s="57"/>
      <c r="G348" s="59"/>
      <c r="H348" s="59"/>
      <c r="I348" s="59"/>
      <c r="J348" s="59"/>
      <c r="K348" s="59"/>
      <c r="L348" s="59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</row>
    <row r="349">
      <c r="A349" s="57"/>
      <c r="B349" s="57"/>
      <c r="C349" s="57"/>
      <c r="D349" s="57"/>
      <c r="E349" s="58"/>
      <c r="F349" s="57"/>
      <c r="G349" s="59"/>
      <c r="H349" s="59"/>
      <c r="I349" s="59"/>
      <c r="J349" s="59"/>
      <c r="K349" s="59"/>
      <c r="L349" s="59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</row>
    <row r="350">
      <c r="A350" s="57"/>
      <c r="B350" s="57"/>
      <c r="C350" s="57"/>
      <c r="D350" s="57"/>
      <c r="E350" s="58"/>
      <c r="F350" s="57"/>
      <c r="G350" s="59"/>
      <c r="H350" s="59"/>
      <c r="I350" s="59"/>
      <c r="J350" s="59"/>
      <c r="K350" s="59"/>
      <c r="L350" s="59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</row>
    <row r="351">
      <c r="A351" s="57"/>
      <c r="B351" s="57"/>
      <c r="C351" s="57"/>
      <c r="D351" s="57"/>
      <c r="E351" s="58"/>
      <c r="F351" s="57"/>
      <c r="G351" s="59"/>
      <c r="H351" s="59"/>
      <c r="I351" s="59"/>
      <c r="J351" s="59"/>
      <c r="K351" s="59"/>
      <c r="L351" s="59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</row>
    <row r="352">
      <c r="A352" s="57"/>
      <c r="B352" s="57"/>
      <c r="C352" s="57"/>
      <c r="D352" s="57"/>
      <c r="E352" s="58"/>
      <c r="F352" s="57"/>
      <c r="G352" s="59"/>
      <c r="H352" s="59"/>
      <c r="I352" s="59"/>
      <c r="J352" s="59"/>
      <c r="K352" s="59"/>
      <c r="L352" s="59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</row>
    <row r="353">
      <c r="A353" s="57"/>
      <c r="B353" s="57"/>
      <c r="C353" s="57"/>
      <c r="D353" s="57"/>
      <c r="E353" s="58"/>
      <c r="F353" s="57"/>
      <c r="G353" s="59"/>
      <c r="H353" s="59"/>
      <c r="I353" s="59"/>
      <c r="J353" s="59"/>
      <c r="K353" s="59"/>
      <c r="L353" s="59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</row>
    <row r="354">
      <c r="A354" s="57"/>
      <c r="B354" s="57"/>
      <c r="C354" s="57"/>
      <c r="D354" s="57"/>
      <c r="E354" s="58"/>
      <c r="F354" s="57"/>
      <c r="G354" s="59"/>
      <c r="H354" s="59"/>
      <c r="I354" s="59"/>
      <c r="J354" s="59"/>
      <c r="K354" s="59"/>
      <c r="L354" s="59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</row>
    <row r="355">
      <c r="A355" s="57"/>
      <c r="B355" s="57"/>
      <c r="C355" s="57"/>
      <c r="D355" s="57"/>
      <c r="E355" s="58"/>
      <c r="F355" s="57"/>
      <c r="G355" s="59"/>
      <c r="H355" s="59"/>
      <c r="I355" s="59"/>
      <c r="J355" s="59"/>
      <c r="K355" s="59"/>
      <c r="L355" s="59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</row>
    <row r="356">
      <c r="A356" s="57"/>
      <c r="B356" s="57"/>
      <c r="C356" s="57"/>
      <c r="D356" s="57"/>
      <c r="E356" s="58"/>
      <c r="F356" s="57"/>
      <c r="G356" s="59"/>
      <c r="H356" s="59"/>
      <c r="I356" s="59"/>
      <c r="J356" s="59"/>
      <c r="K356" s="59"/>
      <c r="L356" s="59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</row>
    <row r="357">
      <c r="A357" s="57"/>
      <c r="B357" s="57"/>
      <c r="C357" s="57"/>
      <c r="D357" s="57"/>
      <c r="E357" s="58"/>
      <c r="F357" s="57"/>
      <c r="G357" s="59"/>
      <c r="H357" s="59"/>
      <c r="I357" s="59"/>
      <c r="J357" s="59"/>
      <c r="K357" s="59"/>
      <c r="L357" s="59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</row>
    <row r="358">
      <c r="A358" s="57"/>
      <c r="B358" s="57"/>
      <c r="C358" s="57"/>
      <c r="D358" s="57"/>
      <c r="E358" s="58"/>
      <c r="F358" s="57"/>
      <c r="G358" s="59"/>
      <c r="H358" s="59"/>
      <c r="I358" s="59"/>
      <c r="J358" s="59"/>
      <c r="K358" s="59"/>
      <c r="L358" s="59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</row>
    <row r="359">
      <c r="A359" s="57"/>
      <c r="B359" s="57"/>
      <c r="C359" s="57"/>
      <c r="D359" s="57"/>
      <c r="E359" s="58"/>
      <c r="F359" s="57"/>
      <c r="G359" s="59"/>
      <c r="H359" s="59"/>
      <c r="I359" s="59"/>
      <c r="J359" s="59"/>
      <c r="K359" s="59"/>
      <c r="L359" s="59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</row>
    <row r="360">
      <c r="A360" s="57"/>
      <c r="B360" s="57"/>
      <c r="C360" s="57"/>
      <c r="D360" s="57"/>
      <c r="E360" s="58"/>
      <c r="F360" s="57"/>
      <c r="G360" s="59"/>
      <c r="H360" s="59"/>
      <c r="I360" s="59"/>
      <c r="J360" s="59"/>
      <c r="K360" s="59"/>
      <c r="L360" s="59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</row>
    <row r="361">
      <c r="A361" s="57"/>
      <c r="B361" s="57"/>
      <c r="C361" s="57"/>
      <c r="D361" s="57"/>
      <c r="E361" s="58"/>
      <c r="F361" s="57"/>
      <c r="G361" s="59"/>
      <c r="H361" s="59"/>
      <c r="I361" s="59"/>
      <c r="J361" s="59"/>
      <c r="K361" s="59"/>
      <c r="L361" s="59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</row>
    <row r="362">
      <c r="A362" s="57"/>
      <c r="B362" s="57"/>
      <c r="C362" s="57"/>
      <c r="D362" s="57"/>
      <c r="E362" s="58"/>
      <c r="F362" s="57"/>
      <c r="G362" s="59"/>
      <c r="H362" s="59"/>
      <c r="I362" s="59"/>
      <c r="J362" s="59"/>
      <c r="K362" s="59"/>
      <c r="L362" s="59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</row>
    <row r="363">
      <c r="A363" s="57"/>
      <c r="B363" s="57"/>
      <c r="C363" s="57"/>
      <c r="D363" s="57"/>
      <c r="E363" s="58"/>
      <c r="F363" s="57"/>
      <c r="G363" s="59"/>
      <c r="H363" s="59"/>
      <c r="I363" s="59"/>
      <c r="J363" s="59"/>
      <c r="K363" s="59"/>
      <c r="L363" s="59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</row>
    <row r="364">
      <c r="A364" s="57"/>
      <c r="B364" s="57"/>
      <c r="C364" s="57"/>
      <c r="D364" s="57"/>
      <c r="E364" s="58"/>
      <c r="F364" s="57"/>
      <c r="G364" s="59"/>
      <c r="H364" s="59"/>
      <c r="I364" s="59"/>
      <c r="J364" s="59"/>
      <c r="K364" s="59"/>
      <c r="L364" s="59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</row>
    <row r="365">
      <c r="A365" s="57"/>
      <c r="B365" s="57"/>
      <c r="C365" s="57"/>
      <c r="D365" s="57"/>
      <c r="E365" s="58"/>
      <c r="F365" s="57"/>
      <c r="G365" s="59"/>
      <c r="H365" s="59"/>
      <c r="I365" s="59"/>
      <c r="J365" s="59"/>
      <c r="K365" s="59"/>
      <c r="L365" s="59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</row>
    <row r="366">
      <c r="A366" s="57"/>
      <c r="B366" s="57"/>
      <c r="C366" s="57"/>
      <c r="D366" s="57"/>
      <c r="E366" s="58"/>
      <c r="F366" s="57"/>
      <c r="G366" s="59"/>
      <c r="H366" s="59"/>
      <c r="I366" s="59"/>
      <c r="J366" s="59"/>
      <c r="K366" s="59"/>
      <c r="L366" s="59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</row>
    <row r="367">
      <c r="A367" s="57"/>
      <c r="B367" s="57"/>
      <c r="C367" s="57"/>
      <c r="D367" s="57"/>
      <c r="E367" s="58"/>
      <c r="F367" s="57"/>
      <c r="G367" s="59"/>
      <c r="H367" s="59"/>
      <c r="I367" s="59"/>
      <c r="J367" s="59"/>
      <c r="K367" s="59"/>
      <c r="L367" s="59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</row>
    <row r="368">
      <c r="A368" s="57"/>
      <c r="B368" s="57"/>
      <c r="C368" s="57"/>
      <c r="D368" s="57"/>
      <c r="E368" s="58"/>
      <c r="F368" s="57"/>
      <c r="G368" s="59"/>
      <c r="H368" s="59"/>
      <c r="I368" s="59"/>
      <c r="J368" s="59"/>
      <c r="K368" s="59"/>
      <c r="L368" s="59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</row>
    <row r="369">
      <c r="A369" s="57"/>
      <c r="B369" s="57"/>
      <c r="C369" s="57"/>
      <c r="D369" s="57"/>
      <c r="E369" s="58"/>
      <c r="F369" s="57"/>
      <c r="G369" s="59"/>
      <c r="H369" s="59"/>
      <c r="I369" s="59"/>
      <c r="J369" s="59"/>
      <c r="K369" s="59"/>
      <c r="L369" s="59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</row>
    <row r="370">
      <c r="A370" s="57"/>
      <c r="B370" s="57"/>
      <c r="C370" s="57"/>
      <c r="D370" s="57"/>
      <c r="E370" s="58"/>
      <c r="F370" s="57"/>
      <c r="G370" s="59"/>
      <c r="H370" s="59"/>
      <c r="I370" s="59"/>
      <c r="J370" s="59"/>
      <c r="K370" s="59"/>
      <c r="L370" s="59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</row>
    <row r="371">
      <c r="A371" s="57"/>
      <c r="B371" s="57"/>
      <c r="C371" s="57"/>
      <c r="D371" s="57"/>
      <c r="E371" s="58"/>
      <c r="F371" s="57"/>
      <c r="G371" s="59"/>
      <c r="H371" s="59"/>
      <c r="I371" s="59"/>
      <c r="J371" s="59"/>
      <c r="K371" s="59"/>
      <c r="L371" s="59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</row>
    <row r="372">
      <c r="A372" s="57"/>
      <c r="B372" s="57"/>
      <c r="C372" s="57"/>
      <c r="D372" s="57"/>
      <c r="E372" s="58"/>
      <c r="F372" s="57"/>
      <c r="G372" s="59"/>
      <c r="H372" s="59"/>
      <c r="I372" s="59"/>
      <c r="J372" s="59"/>
      <c r="K372" s="59"/>
      <c r="L372" s="59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</row>
    <row r="373">
      <c r="A373" s="57"/>
      <c r="B373" s="57"/>
      <c r="C373" s="57"/>
      <c r="D373" s="57"/>
      <c r="E373" s="58"/>
      <c r="F373" s="57"/>
      <c r="G373" s="59"/>
      <c r="H373" s="59"/>
      <c r="I373" s="59"/>
      <c r="J373" s="59"/>
      <c r="K373" s="59"/>
      <c r="L373" s="59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</row>
    <row r="374">
      <c r="A374" s="57"/>
      <c r="B374" s="57"/>
      <c r="C374" s="57"/>
      <c r="D374" s="57"/>
      <c r="E374" s="58"/>
      <c r="F374" s="57"/>
      <c r="G374" s="59"/>
      <c r="H374" s="59"/>
      <c r="I374" s="59"/>
      <c r="J374" s="59"/>
      <c r="K374" s="59"/>
      <c r="L374" s="59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</row>
    <row r="375">
      <c r="A375" s="57"/>
      <c r="B375" s="57"/>
      <c r="C375" s="57"/>
      <c r="D375" s="57"/>
      <c r="E375" s="58"/>
      <c r="F375" s="57"/>
      <c r="G375" s="59"/>
      <c r="H375" s="59"/>
      <c r="I375" s="59"/>
      <c r="J375" s="59"/>
      <c r="K375" s="59"/>
      <c r="L375" s="59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</row>
    <row r="376">
      <c r="A376" s="57"/>
      <c r="B376" s="57"/>
      <c r="C376" s="57"/>
      <c r="D376" s="57"/>
      <c r="E376" s="58"/>
      <c r="F376" s="57"/>
      <c r="G376" s="59"/>
      <c r="H376" s="59"/>
      <c r="I376" s="59"/>
      <c r="J376" s="59"/>
      <c r="K376" s="59"/>
      <c r="L376" s="59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</row>
    <row r="377">
      <c r="A377" s="57"/>
      <c r="B377" s="57"/>
      <c r="C377" s="57"/>
      <c r="D377" s="57"/>
      <c r="E377" s="58"/>
      <c r="F377" s="57"/>
      <c r="G377" s="59"/>
      <c r="H377" s="59"/>
      <c r="I377" s="59"/>
      <c r="J377" s="59"/>
      <c r="K377" s="59"/>
      <c r="L377" s="59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</row>
    <row r="378">
      <c r="A378" s="57"/>
      <c r="B378" s="57"/>
      <c r="C378" s="57"/>
      <c r="D378" s="57"/>
      <c r="E378" s="58"/>
      <c r="F378" s="57"/>
      <c r="G378" s="59"/>
      <c r="H378" s="59"/>
      <c r="I378" s="59"/>
      <c r="J378" s="59"/>
      <c r="K378" s="59"/>
      <c r="L378" s="59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</row>
    <row r="379">
      <c r="A379" s="57"/>
      <c r="B379" s="57"/>
      <c r="C379" s="57"/>
      <c r="D379" s="57"/>
      <c r="E379" s="58"/>
      <c r="F379" s="57"/>
      <c r="G379" s="59"/>
      <c r="H379" s="59"/>
      <c r="I379" s="59"/>
      <c r="J379" s="59"/>
      <c r="K379" s="59"/>
      <c r="L379" s="59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</row>
    <row r="380">
      <c r="A380" s="57"/>
      <c r="B380" s="57"/>
      <c r="C380" s="57"/>
      <c r="D380" s="57"/>
      <c r="E380" s="58"/>
      <c r="F380" s="57"/>
      <c r="G380" s="59"/>
      <c r="H380" s="59"/>
      <c r="I380" s="59"/>
      <c r="J380" s="59"/>
      <c r="K380" s="59"/>
      <c r="L380" s="59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</row>
    <row r="381">
      <c r="A381" s="57"/>
      <c r="B381" s="57"/>
      <c r="C381" s="57"/>
      <c r="D381" s="57"/>
      <c r="E381" s="58"/>
      <c r="F381" s="57"/>
      <c r="G381" s="59"/>
      <c r="H381" s="59"/>
      <c r="I381" s="59"/>
      <c r="J381" s="59"/>
      <c r="K381" s="59"/>
      <c r="L381" s="59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</row>
    <row r="382">
      <c r="A382" s="57"/>
      <c r="B382" s="57"/>
      <c r="C382" s="57"/>
      <c r="D382" s="57"/>
      <c r="E382" s="58"/>
      <c r="F382" s="57"/>
      <c r="G382" s="59"/>
      <c r="H382" s="59"/>
      <c r="I382" s="59"/>
      <c r="J382" s="59"/>
      <c r="K382" s="59"/>
      <c r="L382" s="59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</row>
    <row r="383">
      <c r="A383" s="57"/>
      <c r="B383" s="57"/>
      <c r="C383" s="57"/>
      <c r="D383" s="57"/>
      <c r="E383" s="58"/>
      <c r="F383" s="57"/>
      <c r="G383" s="59"/>
      <c r="H383" s="59"/>
      <c r="I383" s="59"/>
      <c r="J383" s="59"/>
      <c r="K383" s="59"/>
      <c r="L383" s="59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</row>
    <row r="384">
      <c r="A384" s="57"/>
      <c r="B384" s="57"/>
      <c r="C384" s="57"/>
      <c r="D384" s="57"/>
      <c r="E384" s="58"/>
      <c r="F384" s="57"/>
      <c r="G384" s="59"/>
      <c r="H384" s="59"/>
      <c r="I384" s="59"/>
      <c r="J384" s="59"/>
      <c r="K384" s="59"/>
      <c r="L384" s="59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</row>
    <row r="385">
      <c r="A385" s="57"/>
      <c r="B385" s="57"/>
      <c r="C385" s="57"/>
      <c r="D385" s="57"/>
      <c r="E385" s="58"/>
      <c r="F385" s="57"/>
      <c r="G385" s="59"/>
      <c r="H385" s="59"/>
      <c r="I385" s="59"/>
      <c r="J385" s="59"/>
      <c r="K385" s="59"/>
      <c r="L385" s="59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</row>
    <row r="386">
      <c r="A386" s="57"/>
      <c r="B386" s="57"/>
      <c r="C386" s="57"/>
      <c r="D386" s="57"/>
      <c r="E386" s="58"/>
      <c r="F386" s="57"/>
      <c r="G386" s="59"/>
      <c r="H386" s="59"/>
      <c r="I386" s="59"/>
      <c r="J386" s="59"/>
      <c r="K386" s="59"/>
      <c r="L386" s="59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</row>
    <row r="387">
      <c r="A387" s="57"/>
      <c r="B387" s="57"/>
      <c r="C387" s="57"/>
      <c r="D387" s="57"/>
      <c r="E387" s="58"/>
      <c r="F387" s="57"/>
      <c r="G387" s="59"/>
      <c r="H387" s="59"/>
      <c r="I387" s="59"/>
      <c r="J387" s="59"/>
      <c r="K387" s="59"/>
      <c r="L387" s="59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</row>
    <row r="388">
      <c r="A388" s="57"/>
      <c r="B388" s="57"/>
      <c r="C388" s="57"/>
      <c r="D388" s="57"/>
      <c r="E388" s="58"/>
      <c r="F388" s="57"/>
      <c r="G388" s="59"/>
      <c r="H388" s="59"/>
      <c r="I388" s="59"/>
      <c r="J388" s="59"/>
      <c r="K388" s="59"/>
      <c r="L388" s="59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</row>
    <row r="389">
      <c r="A389" s="57"/>
      <c r="B389" s="57"/>
      <c r="C389" s="57"/>
      <c r="D389" s="57"/>
      <c r="E389" s="58"/>
      <c r="F389" s="57"/>
      <c r="G389" s="59"/>
      <c r="H389" s="59"/>
      <c r="I389" s="59"/>
      <c r="J389" s="59"/>
      <c r="K389" s="59"/>
      <c r="L389" s="59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</row>
    <row r="390">
      <c r="A390" s="57"/>
      <c r="B390" s="57"/>
      <c r="C390" s="57"/>
      <c r="D390" s="57"/>
      <c r="E390" s="58"/>
      <c r="F390" s="57"/>
      <c r="G390" s="59"/>
      <c r="H390" s="59"/>
      <c r="I390" s="59"/>
      <c r="J390" s="59"/>
      <c r="K390" s="59"/>
      <c r="L390" s="59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</row>
    <row r="391">
      <c r="A391" s="57"/>
      <c r="B391" s="57"/>
      <c r="C391" s="57"/>
      <c r="D391" s="57"/>
      <c r="E391" s="58"/>
      <c r="F391" s="57"/>
      <c r="G391" s="59"/>
      <c r="H391" s="59"/>
      <c r="I391" s="59"/>
      <c r="J391" s="59"/>
      <c r="K391" s="59"/>
      <c r="L391" s="59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</row>
    <row r="392">
      <c r="A392" s="57"/>
      <c r="B392" s="57"/>
      <c r="C392" s="57"/>
      <c r="D392" s="57"/>
      <c r="E392" s="58"/>
      <c r="F392" s="57"/>
      <c r="G392" s="59"/>
      <c r="H392" s="59"/>
      <c r="I392" s="59"/>
      <c r="J392" s="59"/>
      <c r="K392" s="59"/>
      <c r="L392" s="59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</row>
    <row r="393">
      <c r="A393" s="57"/>
      <c r="B393" s="57"/>
      <c r="C393" s="57"/>
      <c r="D393" s="57"/>
      <c r="E393" s="58"/>
      <c r="F393" s="57"/>
      <c r="G393" s="59"/>
      <c r="H393" s="59"/>
      <c r="I393" s="59"/>
      <c r="J393" s="59"/>
      <c r="K393" s="59"/>
      <c r="L393" s="59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</row>
    <row r="394">
      <c r="A394" s="57"/>
      <c r="B394" s="57"/>
      <c r="C394" s="57"/>
      <c r="D394" s="57"/>
      <c r="E394" s="58"/>
      <c r="F394" s="57"/>
      <c r="G394" s="59"/>
      <c r="H394" s="59"/>
      <c r="I394" s="59"/>
      <c r="J394" s="59"/>
      <c r="K394" s="59"/>
      <c r="L394" s="59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</row>
    <row r="395">
      <c r="A395" s="57"/>
      <c r="B395" s="57"/>
      <c r="C395" s="57"/>
      <c r="D395" s="57"/>
      <c r="E395" s="58"/>
      <c r="F395" s="57"/>
      <c r="G395" s="59"/>
      <c r="H395" s="59"/>
      <c r="I395" s="59"/>
      <c r="J395" s="59"/>
      <c r="K395" s="59"/>
      <c r="L395" s="59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</row>
    <row r="396">
      <c r="A396" s="57"/>
      <c r="B396" s="57"/>
      <c r="C396" s="57"/>
      <c r="D396" s="57"/>
      <c r="E396" s="58"/>
      <c r="F396" s="57"/>
      <c r="G396" s="59"/>
      <c r="H396" s="59"/>
      <c r="I396" s="59"/>
      <c r="J396" s="59"/>
      <c r="K396" s="59"/>
      <c r="L396" s="59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</row>
    <row r="397">
      <c r="A397" s="57"/>
      <c r="B397" s="57"/>
      <c r="C397" s="57"/>
      <c r="D397" s="57"/>
      <c r="E397" s="58"/>
      <c r="F397" s="57"/>
      <c r="G397" s="59"/>
      <c r="H397" s="59"/>
      <c r="I397" s="59"/>
      <c r="J397" s="59"/>
      <c r="K397" s="59"/>
      <c r="L397" s="59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</row>
    <row r="398">
      <c r="A398" s="57"/>
      <c r="B398" s="57"/>
      <c r="C398" s="57"/>
      <c r="D398" s="57"/>
      <c r="E398" s="58"/>
      <c r="F398" s="57"/>
      <c r="G398" s="59"/>
      <c r="H398" s="59"/>
      <c r="I398" s="59"/>
      <c r="J398" s="59"/>
      <c r="K398" s="59"/>
      <c r="L398" s="59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</row>
    <row r="399">
      <c r="A399" s="57"/>
      <c r="B399" s="57"/>
      <c r="C399" s="57"/>
      <c r="D399" s="57"/>
      <c r="E399" s="58"/>
      <c r="F399" s="57"/>
      <c r="G399" s="59"/>
      <c r="H399" s="59"/>
      <c r="I399" s="59"/>
      <c r="J399" s="59"/>
      <c r="K399" s="59"/>
      <c r="L399" s="59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</row>
    <row r="400">
      <c r="A400" s="57"/>
      <c r="B400" s="57"/>
      <c r="C400" s="57"/>
      <c r="D400" s="57"/>
      <c r="E400" s="58"/>
      <c r="F400" s="57"/>
      <c r="G400" s="59"/>
      <c r="H400" s="59"/>
      <c r="I400" s="59"/>
      <c r="J400" s="59"/>
      <c r="K400" s="59"/>
      <c r="L400" s="59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</row>
    <row r="401">
      <c r="A401" s="57"/>
      <c r="B401" s="57"/>
      <c r="C401" s="57"/>
      <c r="D401" s="57"/>
      <c r="E401" s="58"/>
      <c r="F401" s="57"/>
      <c r="G401" s="59"/>
      <c r="H401" s="59"/>
      <c r="I401" s="59"/>
      <c r="J401" s="59"/>
      <c r="K401" s="59"/>
      <c r="L401" s="59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</row>
    <row r="402">
      <c r="A402" s="57"/>
      <c r="B402" s="57"/>
      <c r="C402" s="57"/>
      <c r="D402" s="57"/>
      <c r="E402" s="58"/>
      <c r="F402" s="57"/>
      <c r="G402" s="59"/>
      <c r="H402" s="59"/>
      <c r="I402" s="59"/>
      <c r="J402" s="59"/>
      <c r="K402" s="59"/>
      <c r="L402" s="59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</row>
    <row r="403">
      <c r="A403" s="57"/>
      <c r="B403" s="57"/>
      <c r="C403" s="57"/>
      <c r="D403" s="57"/>
      <c r="E403" s="58"/>
      <c r="F403" s="57"/>
      <c r="G403" s="59"/>
      <c r="H403" s="59"/>
      <c r="I403" s="59"/>
      <c r="J403" s="59"/>
      <c r="K403" s="59"/>
      <c r="L403" s="59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</row>
    <row r="404">
      <c r="A404" s="57"/>
      <c r="B404" s="57"/>
      <c r="C404" s="57"/>
      <c r="D404" s="57"/>
      <c r="E404" s="58"/>
      <c r="F404" s="57"/>
      <c r="G404" s="59"/>
      <c r="H404" s="59"/>
      <c r="I404" s="59"/>
      <c r="J404" s="59"/>
      <c r="K404" s="59"/>
      <c r="L404" s="59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</row>
    <row r="405">
      <c r="A405" s="57"/>
      <c r="B405" s="57"/>
      <c r="C405" s="57"/>
      <c r="D405" s="57"/>
      <c r="E405" s="58"/>
      <c r="F405" s="57"/>
      <c r="G405" s="59"/>
      <c r="H405" s="59"/>
      <c r="I405" s="59"/>
      <c r="J405" s="59"/>
      <c r="K405" s="59"/>
      <c r="L405" s="59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</row>
    <row r="406">
      <c r="A406" s="57"/>
      <c r="B406" s="57"/>
      <c r="C406" s="57"/>
      <c r="D406" s="57"/>
      <c r="E406" s="58"/>
      <c r="F406" s="57"/>
      <c r="G406" s="59"/>
      <c r="H406" s="59"/>
      <c r="I406" s="59"/>
      <c r="J406" s="59"/>
      <c r="K406" s="59"/>
      <c r="L406" s="59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</row>
    <row r="407">
      <c r="A407" s="57"/>
      <c r="B407" s="57"/>
      <c r="C407" s="57"/>
      <c r="D407" s="57"/>
      <c r="E407" s="58"/>
      <c r="F407" s="57"/>
      <c r="G407" s="59"/>
      <c r="H407" s="59"/>
      <c r="I407" s="59"/>
      <c r="J407" s="59"/>
      <c r="K407" s="59"/>
      <c r="L407" s="59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</row>
    <row r="408">
      <c r="A408" s="57"/>
      <c r="B408" s="57"/>
      <c r="C408" s="57"/>
      <c r="D408" s="57"/>
      <c r="E408" s="58"/>
      <c r="F408" s="57"/>
      <c r="G408" s="59"/>
      <c r="H408" s="59"/>
      <c r="I408" s="59"/>
      <c r="J408" s="59"/>
      <c r="K408" s="59"/>
      <c r="L408" s="59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</row>
    <row r="409">
      <c r="A409" s="57"/>
      <c r="B409" s="57"/>
      <c r="C409" s="57"/>
      <c r="D409" s="57"/>
      <c r="E409" s="58"/>
      <c r="F409" s="57"/>
      <c r="G409" s="59"/>
      <c r="H409" s="59"/>
      <c r="I409" s="59"/>
      <c r="J409" s="59"/>
      <c r="K409" s="59"/>
      <c r="L409" s="59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</row>
    <row r="410">
      <c r="A410" s="57"/>
      <c r="B410" s="57"/>
      <c r="C410" s="57"/>
      <c r="D410" s="57"/>
      <c r="E410" s="58"/>
      <c r="F410" s="57"/>
      <c r="G410" s="59"/>
      <c r="H410" s="59"/>
      <c r="I410" s="59"/>
      <c r="J410" s="59"/>
      <c r="K410" s="59"/>
      <c r="L410" s="59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</row>
    <row r="411">
      <c r="A411" s="57"/>
      <c r="B411" s="57"/>
      <c r="C411" s="57"/>
      <c r="D411" s="57"/>
      <c r="E411" s="58"/>
      <c r="F411" s="57"/>
      <c r="G411" s="59"/>
      <c r="H411" s="59"/>
      <c r="I411" s="59"/>
      <c r="J411" s="59"/>
      <c r="K411" s="59"/>
      <c r="L411" s="59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</row>
    <row r="412">
      <c r="A412" s="57"/>
      <c r="B412" s="57"/>
      <c r="C412" s="57"/>
      <c r="D412" s="57"/>
      <c r="E412" s="58"/>
      <c r="F412" s="57"/>
      <c r="G412" s="59"/>
      <c r="H412" s="59"/>
      <c r="I412" s="59"/>
      <c r="J412" s="59"/>
      <c r="K412" s="59"/>
      <c r="L412" s="59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</row>
    <row r="413">
      <c r="A413" s="57"/>
      <c r="B413" s="57"/>
      <c r="C413" s="57"/>
      <c r="D413" s="57"/>
      <c r="E413" s="58"/>
      <c r="F413" s="57"/>
      <c r="G413" s="59"/>
      <c r="H413" s="59"/>
      <c r="I413" s="59"/>
      <c r="J413" s="59"/>
      <c r="K413" s="59"/>
      <c r="L413" s="59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</row>
    <row r="414">
      <c r="A414" s="57"/>
      <c r="B414" s="57"/>
      <c r="C414" s="57"/>
      <c r="D414" s="57"/>
      <c r="E414" s="58"/>
      <c r="F414" s="57"/>
      <c r="G414" s="59"/>
      <c r="H414" s="59"/>
      <c r="I414" s="59"/>
      <c r="J414" s="59"/>
      <c r="K414" s="59"/>
      <c r="L414" s="59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</row>
    <row r="415">
      <c r="A415" s="57"/>
      <c r="B415" s="57"/>
      <c r="C415" s="57"/>
      <c r="D415" s="57"/>
      <c r="E415" s="58"/>
      <c r="F415" s="57"/>
      <c r="G415" s="59"/>
      <c r="H415" s="59"/>
      <c r="I415" s="59"/>
      <c r="J415" s="59"/>
      <c r="K415" s="59"/>
      <c r="L415" s="59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</row>
    <row r="416">
      <c r="A416" s="57"/>
      <c r="B416" s="57"/>
      <c r="C416" s="57"/>
      <c r="D416" s="57"/>
      <c r="E416" s="58"/>
      <c r="F416" s="57"/>
      <c r="G416" s="59"/>
      <c r="H416" s="59"/>
      <c r="I416" s="59"/>
      <c r="J416" s="59"/>
      <c r="K416" s="59"/>
      <c r="L416" s="59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</row>
    <row r="417">
      <c r="A417" s="57"/>
      <c r="B417" s="57"/>
      <c r="C417" s="57"/>
      <c r="D417" s="57"/>
      <c r="E417" s="58"/>
      <c r="F417" s="57"/>
      <c r="G417" s="59"/>
      <c r="H417" s="59"/>
      <c r="I417" s="59"/>
      <c r="J417" s="59"/>
      <c r="K417" s="59"/>
      <c r="L417" s="59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</row>
    <row r="418">
      <c r="A418" s="57"/>
      <c r="B418" s="57"/>
      <c r="C418" s="57"/>
      <c r="D418" s="57"/>
      <c r="E418" s="58"/>
      <c r="F418" s="57"/>
      <c r="G418" s="59"/>
      <c r="H418" s="59"/>
      <c r="I418" s="59"/>
      <c r="J418" s="59"/>
      <c r="K418" s="59"/>
      <c r="L418" s="59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</row>
    <row r="419">
      <c r="A419" s="57"/>
      <c r="B419" s="57"/>
      <c r="C419" s="57"/>
      <c r="D419" s="57"/>
      <c r="E419" s="58"/>
      <c r="F419" s="57"/>
      <c r="G419" s="59"/>
      <c r="H419" s="59"/>
      <c r="I419" s="59"/>
      <c r="J419" s="59"/>
      <c r="K419" s="59"/>
      <c r="L419" s="59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</row>
    <row r="420">
      <c r="A420" s="57"/>
      <c r="B420" s="57"/>
      <c r="C420" s="57"/>
      <c r="D420" s="57"/>
      <c r="E420" s="58"/>
      <c r="F420" s="57"/>
      <c r="G420" s="59"/>
      <c r="H420" s="59"/>
      <c r="I420" s="59"/>
      <c r="J420" s="59"/>
      <c r="K420" s="59"/>
      <c r="L420" s="59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</row>
    <row r="421">
      <c r="A421" s="57"/>
      <c r="B421" s="57"/>
      <c r="C421" s="57"/>
      <c r="D421" s="57"/>
      <c r="E421" s="58"/>
      <c r="F421" s="57"/>
      <c r="G421" s="59"/>
      <c r="H421" s="59"/>
      <c r="I421" s="59"/>
      <c r="J421" s="59"/>
      <c r="K421" s="59"/>
      <c r="L421" s="59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</row>
    <row r="422">
      <c r="A422" s="57"/>
      <c r="B422" s="57"/>
      <c r="C422" s="57"/>
      <c r="D422" s="57"/>
      <c r="E422" s="58"/>
      <c r="F422" s="57"/>
      <c r="G422" s="59"/>
      <c r="H422" s="59"/>
      <c r="I422" s="59"/>
      <c r="J422" s="59"/>
      <c r="K422" s="59"/>
      <c r="L422" s="59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</row>
    <row r="423">
      <c r="A423" s="57"/>
      <c r="B423" s="57"/>
      <c r="C423" s="57"/>
      <c r="D423" s="57"/>
      <c r="E423" s="58"/>
      <c r="F423" s="57"/>
      <c r="G423" s="59"/>
      <c r="H423" s="59"/>
      <c r="I423" s="59"/>
      <c r="J423" s="59"/>
      <c r="K423" s="59"/>
      <c r="L423" s="59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</row>
    <row r="424">
      <c r="A424" s="57"/>
      <c r="B424" s="57"/>
      <c r="C424" s="57"/>
      <c r="D424" s="57"/>
      <c r="E424" s="58"/>
      <c r="F424" s="57"/>
      <c r="G424" s="59"/>
      <c r="H424" s="59"/>
      <c r="I424" s="59"/>
      <c r="J424" s="59"/>
      <c r="K424" s="59"/>
      <c r="L424" s="59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</row>
    <row r="425">
      <c r="A425" s="57"/>
      <c r="B425" s="57"/>
      <c r="C425" s="57"/>
      <c r="D425" s="57"/>
      <c r="E425" s="58"/>
      <c r="F425" s="57"/>
      <c r="G425" s="59"/>
      <c r="H425" s="59"/>
      <c r="I425" s="59"/>
      <c r="J425" s="59"/>
      <c r="K425" s="59"/>
      <c r="L425" s="59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</row>
    <row r="426">
      <c r="A426" s="57"/>
      <c r="B426" s="57"/>
      <c r="C426" s="57"/>
      <c r="D426" s="57"/>
      <c r="E426" s="58"/>
      <c r="F426" s="57"/>
      <c r="G426" s="59"/>
      <c r="H426" s="59"/>
      <c r="I426" s="59"/>
      <c r="J426" s="59"/>
      <c r="K426" s="59"/>
      <c r="L426" s="59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</row>
    <row r="427">
      <c r="A427" s="57"/>
      <c r="B427" s="57"/>
      <c r="C427" s="57"/>
      <c r="D427" s="57"/>
      <c r="E427" s="58"/>
      <c r="F427" s="57"/>
      <c r="G427" s="59"/>
      <c r="H427" s="59"/>
      <c r="I427" s="59"/>
      <c r="J427" s="59"/>
      <c r="K427" s="59"/>
      <c r="L427" s="59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</row>
    <row r="428">
      <c r="A428" s="57"/>
      <c r="B428" s="57"/>
      <c r="C428" s="57"/>
      <c r="D428" s="57"/>
      <c r="E428" s="58"/>
      <c r="F428" s="57"/>
      <c r="G428" s="59"/>
      <c r="H428" s="59"/>
      <c r="I428" s="59"/>
      <c r="J428" s="59"/>
      <c r="K428" s="59"/>
      <c r="L428" s="59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</row>
    <row r="429">
      <c r="A429" s="57"/>
      <c r="B429" s="57"/>
      <c r="C429" s="57"/>
      <c r="D429" s="57"/>
      <c r="E429" s="58"/>
      <c r="F429" s="57"/>
      <c r="G429" s="59"/>
      <c r="H429" s="59"/>
      <c r="I429" s="59"/>
      <c r="J429" s="59"/>
      <c r="K429" s="59"/>
      <c r="L429" s="59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</row>
    <row r="430">
      <c r="A430" s="57"/>
      <c r="B430" s="57"/>
      <c r="C430" s="57"/>
      <c r="D430" s="57"/>
      <c r="E430" s="58"/>
      <c r="F430" s="57"/>
      <c r="G430" s="59"/>
      <c r="H430" s="59"/>
      <c r="I430" s="59"/>
      <c r="J430" s="59"/>
      <c r="K430" s="59"/>
      <c r="L430" s="59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</row>
    <row r="431">
      <c r="A431" s="57"/>
      <c r="B431" s="57"/>
      <c r="C431" s="57"/>
      <c r="D431" s="57"/>
      <c r="E431" s="58"/>
      <c r="F431" s="57"/>
      <c r="G431" s="59"/>
      <c r="H431" s="59"/>
      <c r="I431" s="59"/>
      <c r="J431" s="59"/>
      <c r="K431" s="59"/>
      <c r="L431" s="59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</row>
    <row r="432">
      <c r="A432" s="57"/>
      <c r="B432" s="57"/>
      <c r="C432" s="57"/>
      <c r="D432" s="57"/>
      <c r="E432" s="58"/>
      <c r="F432" s="57"/>
      <c r="G432" s="59"/>
      <c r="H432" s="59"/>
      <c r="I432" s="59"/>
      <c r="J432" s="59"/>
      <c r="K432" s="59"/>
      <c r="L432" s="59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</row>
    <row r="433">
      <c r="A433" s="57"/>
      <c r="B433" s="57"/>
      <c r="C433" s="57"/>
      <c r="D433" s="57"/>
      <c r="E433" s="58"/>
      <c r="F433" s="57"/>
      <c r="G433" s="59"/>
      <c r="H433" s="59"/>
      <c r="I433" s="59"/>
      <c r="J433" s="59"/>
      <c r="K433" s="59"/>
      <c r="L433" s="59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</row>
    <row r="434">
      <c r="A434" s="57"/>
      <c r="B434" s="57"/>
      <c r="C434" s="57"/>
      <c r="D434" s="57"/>
      <c r="E434" s="58"/>
      <c r="F434" s="57"/>
      <c r="G434" s="59"/>
      <c r="H434" s="59"/>
      <c r="I434" s="59"/>
      <c r="J434" s="59"/>
      <c r="K434" s="59"/>
      <c r="L434" s="59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</row>
    <row r="435">
      <c r="A435" s="57"/>
      <c r="B435" s="57"/>
      <c r="C435" s="57"/>
      <c r="D435" s="57"/>
      <c r="E435" s="58"/>
      <c r="F435" s="57"/>
      <c r="G435" s="59"/>
      <c r="H435" s="59"/>
      <c r="I435" s="59"/>
      <c r="J435" s="59"/>
      <c r="K435" s="59"/>
      <c r="L435" s="59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</row>
    <row r="436">
      <c r="A436" s="57"/>
      <c r="B436" s="57"/>
      <c r="C436" s="57"/>
      <c r="D436" s="57"/>
      <c r="E436" s="58"/>
      <c r="F436" s="57"/>
      <c r="G436" s="59"/>
      <c r="H436" s="59"/>
      <c r="I436" s="59"/>
      <c r="J436" s="59"/>
      <c r="K436" s="59"/>
      <c r="L436" s="59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</row>
    <row r="437">
      <c r="A437" s="57"/>
      <c r="B437" s="57"/>
      <c r="C437" s="57"/>
      <c r="D437" s="57"/>
      <c r="E437" s="58"/>
      <c r="F437" s="57"/>
      <c r="G437" s="59"/>
      <c r="H437" s="59"/>
      <c r="I437" s="59"/>
      <c r="J437" s="59"/>
      <c r="K437" s="59"/>
      <c r="L437" s="59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</row>
    <row r="438">
      <c r="A438" s="57"/>
      <c r="B438" s="57"/>
      <c r="C438" s="57"/>
      <c r="D438" s="57"/>
      <c r="E438" s="58"/>
      <c r="F438" s="57"/>
      <c r="G438" s="59"/>
      <c r="H438" s="59"/>
      <c r="I438" s="59"/>
      <c r="J438" s="59"/>
      <c r="K438" s="59"/>
      <c r="L438" s="59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</row>
    <row r="439">
      <c r="A439" s="57"/>
      <c r="B439" s="57"/>
      <c r="C439" s="57"/>
      <c r="D439" s="57"/>
      <c r="E439" s="58"/>
      <c r="F439" s="57"/>
      <c r="G439" s="59"/>
      <c r="H439" s="59"/>
      <c r="I439" s="59"/>
      <c r="J439" s="59"/>
      <c r="K439" s="59"/>
      <c r="L439" s="59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</row>
    <row r="440">
      <c r="A440" s="57"/>
      <c r="B440" s="57"/>
      <c r="C440" s="57"/>
      <c r="D440" s="57"/>
      <c r="E440" s="58"/>
      <c r="F440" s="57"/>
      <c r="G440" s="59"/>
      <c r="H440" s="59"/>
      <c r="I440" s="59"/>
      <c r="J440" s="59"/>
      <c r="K440" s="59"/>
      <c r="L440" s="59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</row>
    <row r="441">
      <c r="A441" s="57"/>
      <c r="B441" s="57"/>
      <c r="C441" s="57"/>
      <c r="D441" s="57"/>
      <c r="E441" s="58"/>
      <c r="F441" s="57"/>
      <c r="G441" s="59"/>
      <c r="H441" s="59"/>
      <c r="I441" s="59"/>
      <c r="J441" s="59"/>
      <c r="K441" s="59"/>
      <c r="L441" s="59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</row>
    <row r="442">
      <c r="A442" s="57"/>
      <c r="B442" s="57"/>
      <c r="C442" s="57"/>
      <c r="D442" s="57"/>
      <c r="E442" s="58"/>
      <c r="F442" s="57"/>
      <c r="G442" s="59"/>
      <c r="H442" s="59"/>
      <c r="I442" s="59"/>
      <c r="J442" s="59"/>
      <c r="K442" s="59"/>
      <c r="L442" s="59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</row>
    <row r="443">
      <c r="A443" s="57"/>
      <c r="B443" s="57"/>
      <c r="C443" s="57"/>
      <c r="D443" s="57"/>
      <c r="E443" s="58"/>
      <c r="F443" s="57"/>
      <c r="G443" s="59"/>
      <c r="H443" s="59"/>
      <c r="I443" s="59"/>
      <c r="J443" s="59"/>
      <c r="K443" s="59"/>
      <c r="L443" s="59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</row>
    <row r="444">
      <c r="A444" s="57"/>
      <c r="B444" s="57"/>
      <c r="C444" s="57"/>
      <c r="D444" s="57"/>
      <c r="E444" s="58"/>
      <c r="F444" s="57"/>
      <c r="G444" s="59"/>
      <c r="H444" s="59"/>
      <c r="I444" s="59"/>
      <c r="J444" s="59"/>
      <c r="K444" s="59"/>
      <c r="L444" s="59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</row>
    <row r="445">
      <c r="A445" s="57"/>
      <c r="B445" s="57"/>
      <c r="C445" s="57"/>
      <c r="D445" s="57"/>
      <c r="E445" s="58"/>
      <c r="F445" s="57"/>
      <c r="G445" s="59"/>
      <c r="H445" s="59"/>
      <c r="I445" s="59"/>
      <c r="J445" s="59"/>
      <c r="K445" s="59"/>
      <c r="L445" s="59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</row>
    <row r="446">
      <c r="A446" s="57"/>
      <c r="B446" s="57"/>
      <c r="C446" s="57"/>
      <c r="D446" s="57"/>
      <c r="E446" s="58"/>
      <c r="F446" s="57"/>
      <c r="G446" s="59"/>
      <c r="H446" s="59"/>
      <c r="I446" s="59"/>
      <c r="J446" s="59"/>
      <c r="K446" s="59"/>
      <c r="L446" s="59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</row>
    <row r="447">
      <c r="A447" s="57"/>
      <c r="B447" s="57"/>
      <c r="C447" s="57"/>
      <c r="D447" s="57"/>
      <c r="E447" s="58"/>
      <c r="F447" s="57"/>
      <c r="G447" s="59"/>
      <c r="H447" s="59"/>
      <c r="I447" s="59"/>
      <c r="J447" s="59"/>
      <c r="K447" s="59"/>
      <c r="L447" s="59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</row>
    <row r="448">
      <c r="A448" s="57"/>
      <c r="B448" s="57"/>
      <c r="C448" s="57"/>
      <c r="D448" s="57"/>
      <c r="E448" s="58"/>
      <c r="F448" s="57"/>
      <c r="G448" s="59"/>
      <c r="H448" s="59"/>
      <c r="I448" s="59"/>
      <c r="J448" s="59"/>
      <c r="K448" s="59"/>
      <c r="L448" s="59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</row>
    <row r="449">
      <c r="A449" s="57"/>
      <c r="B449" s="57"/>
      <c r="C449" s="57"/>
      <c r="D449" s="57"/>
      <c r="E449" s="58"/>
      <c r="F449" s="57"/>
      <c r="G449" s="59"/>
      <c r="H449" s="59"/>
      <c r="I449" s="59"/>
      <c r="J449" s="59"/>
      <c r="K449" s="59"/>
      <c r="L449" s="59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</row>
    <row r="450">
      <c r="A450" s="57"/>
      <c r="B450" s="57"/>
      <c r="C450" s="57"/>
      <c r="D450" s="57"/>
      <c r="E450" s="58"/>
      <c r="F450" s="57"/>
      <c r="G450" s="59"/>
      <c r="H450" s="59"/>
      <c r="I450" s="59"/>
      <c r="J450" s="59"/>
      <c r="K450" s="59"/>
      <c r="L450" s="59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</row>
    <row r="451">
      <c r="A451" s="57"/>
      <c r="B451" s="57"/>
      <c r="C451" s="57"/>
      <c r="D451" s="57"/>
      <c r="E451" s="58"/>
      <c r="F451" s="57"/>
      <c r="G451" s="59"/>
      <c r="H451" s="59"/>
      <c r="I451" s="59"/>
      <c r="J451" s="59"/>
      <c r="K451" s="59"/>
      <c r="L451" s="59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</row>
    <row r="452">
      <c r="A452" s="57"/>
      <c r="B452" s="57"/>
      <c r="C452" s="57"/>
      <c r="D452" s="57"/>
      <c r="E452" s="58"/>
      <c r="F452" s="57"/>
      <c r="G452" s="59"/>
      <c r="H452" s="59"/>
      <c r="I452" s="59"/>
      <c r="J452" s="59"/>
      <c r="K452" s="59"/>
      <c r="L452" s="59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</row>
    <row r="453">
      <c r="A453" s="57"/>
      <c r="B453" s="57"/>
      <c r="C453" s="57"/>
      <c r="D453" s="57"/>
      <c r="E453" s="58"/>
      <c r="F453" s="57"/>
      <c r="G453" s="59"/>
      <c r="H453" s="59"/>
      <c r="I453" s="59"/>
      <c r="J453" s="59"/>
      <c r="K453" s="59"/>
      <c r="L453" s="59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</row>
    <row r="454">
      <c r="A454" s="57"/>
      <c r="B454" s="57"/>
      <c r="C454" s="57"/>
      <c r="D454" s="57"/>
      <c r="E454" s="58"/>
      <c r="F454" s="57"/>
      <c r="G454" s="59"/>
      <c r="H454" s="59"/>
      <c r="I454" s="59"/>
      <c r="J454" s="59"/>
      <c r="K454" s="59"/>
      <c r="L454" s="59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</row>
    <row r="455">
      <c r="A455" s="57"/>
      <c r="B455" s="57"/>
      <c r="C455" s="57"/>
      <c r="D455" s="57"/>
      <c r="E455" s="58"/>
      <c r="F455" s="57"/>
      <c r="G455" s="59"/>
      <c r="H455" s="59"/>
      <c r="I455" s="59"/>
      <c r="J455" s="59"/>
      <c r="K455" s="59"/>
      <c r="L455" s="59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</row>
    <row r="456">
      <c r="A456" s="57"/>
      <c r="B456" s="57"/>
      <c r="C456" s="57"/>
      <c r="D456" s="57"/>
      <c r="E456" s="58"/>
      <c r="F456" s="57"/>
      <c r="G456" s="59"/>
      <c r="H456" s="59"/>
      <c r="I456" s="59"/>
      <c r="J456" s="59"/>
      <c r="K456" s="59"/>
      <c r="L456" s="59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</row>
    <row r="457">
      <c r="A457" s="57"/>
      <c r="B457" s="57"/>
      <c r="C457" s="57"/>
      <c r="D457" s="57"/>
      <c r="E457" s="58"/>
      <c r="F457" s="57"/>
      <c r="G457" s="59"/>
      <c r="H457" s="59"/>
      <c r="I457" s="59"/>
      <c r="J457" s="59"/>
      <c r="K457" s="59"/>
      <c r="L457" s="59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</row>
    <row r="458">
      <c r="A458" s="57"/>
      <c r="B458" s="57"/>
      <c r="C458" s="57"/>
      <c r="D458" s="57"/>
      <c r="E458" s="58"/>
      <c r="F458" s="57"/>
      <c r="G458" s="59"/>
      <c r="H458" s="59"/>
      <c r="I458" s="59"/>
      <c r="J458" s="59"/>
      <c r="K458" s="59"/>
      <c r="L458" s="59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</row>
    <row r="459">
      <c r="A459" s="57"/>
      <c r="B459" s="57"/>
      <c r="C459" s="57"/>
      <c r="D459" s="57"/>
      <c r="E459" s="58"/>
      <c r="F459" s="57"/>
      <c r="G459" s="59"/>
      <c r="H459" s="59"/>
      <c r="I459" s="59"/>
      <c r="J459" s="59"/>
      <c r="K459" s="59"/>
      <c r="L459" s="59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</row>
    <row r="460">
      <c r="A460" s="57"/>
      <c r="B460" s="57"/>
      <c r="C460" s="57"/>
      <c r="D460" s="57"/>
      <c r="E460" s="58"/>
      <c r="F460" s="57"/>
      <c r="G460" s="59"/>
      <c r="H460" s="59"/>
      <c r="I460" s="59"/>
      <c r="J460" s="59"/>
      <c r="K460" s="59"/>
      <c r="L460" s="59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</row>
    <row r="461">
      <c r="A461" s="57"/>
      <c r="B461" s="57"/>
      <c r="C461" s="57"/>
      <c r="D461" s="57"/>
      <c r="E461" s="58"/>
      <c r="F461" s="57"/>
      <c r="G461" s="59"/>
      <c r="H461" s="59"/>
      <c r="I461" s="59"/>
      <c r="J461" s="59"/>
      <c r="K461" s="59"/>
      <c r="L461" s="59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</row>
    <row r="462">
      <c r="A462" s="57"/>
      <c r="B462" s="57"/>
      <c r="C462" s="57"/>
      <c r="D462" s="57"/>
      <c r="E462" s="58"/>
      <c r="F462" s="57"/>
      <c r="G462" s="59"/>
      <c r="H462" s="59"/>
      <c r="I462" s="59"/>
      <c r="J462" s="59"/>
      <c r="K462" s="59"/>
      <c r="L462" s="59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</row>
    <row r="463">
      <c r="A463" s="57"/>
      <c r="B463" s="57"/>
      <c r="C463" s="57"/>
      <c r="D463" s="57"/>
      <c r="E463" s="58"/>
      <c r="F463" s="57"/>
      <c r="G463" s="59"/>
      <c r="H463" s="59"/>
      <c r="I463" s="59"/>
      <c r="J463" s="59"/>
      <c r="K463" s="59"/>
      <c r="L463" s="59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</row>
    <row r="464">
      <c r="A464" s="57"/>
      <c r="B464" s="57"/>
      <c r="C464" s="57"/>
      <c r="D464" s="57"/>
      <c r="E464" s="58"/>
      <c r="F464" s="57"/>
      <c r="G464" s="59"/>
      <c r="H464" s="59"/>
      <c r="I464" s="59"/>
      <c r="J464" s="59"/>
      <c r="K464" s="59"/>
      <c r="L464" s="59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</row>
    <row r="465">
      <c r="A465" s="57"/>
      <c r="B465" s="57"/>
      <c r="C465" s="57"/>
      <c r="D465" s="57"/>
      <c r="E465" s="58"/>
      <c r="F465" s="57"/>
      <c r="G465" s="59"/>
      <c r="H465" s="59"/>
      <c r="I465" s="59"/>
      <c r="J465" s="59"/>
      <c r="K465" s="59"/>
      <c r="L465" s="59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</row>
    <row r="466">
      <c r="A466" s="57"/>
      <c r="B466" s="57"/>
      <c r="C466" s="57"/>
      <c r="D466" s="57"/>
      <c r="E466" s="58"/>
      <c r="F466" s="57"/>
      <c r="G466" s="59"/>
      <c r="H466" s="59"/>
      <c r="I466" s="59"/>
      <c r="J466" s="59"/>
      <c r="K466" s="59"/>
      <c r="L466" s="59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</row>
    <row r="467">
      <c r="A467" s="57"/>
      <c r="B467" s="57"/>
      <c r="C467" s="57"/>
      <c r="D467" s="57"/>
      <c r="E467" s="58"/>
      <c r="F467" s="57"/>
      <c r="G467" s="59"/>
      <c r="H467" s="59"/>
      <c r="I467" s="59"/>
      <c r="J467" s="59"/>
      <c r="K467" s="59"/>
      <c r="L467" s="59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</row>
    <row r="468">
      <c r="A468" s="57"/>
      <c r="B468" s="57"/>
      <c r="C468" s="57"/>
      <c r="D468" s="57"/>
      <c r="E468" s="58"/>
      <c r="F468" s="57"/>
      <c r="G468" s="59"/>
      <c r="H468" s="59"/>
      <c r="I468" s="59"/>
      <c r="J468" s="59"/>
      <c r="K468" s="59"/>
      <c r="L468" s="59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</row>
    <row r="469">
      <c r="A469" s="57"/>
      <c r="B469" s="57"/>
      <c r="C469" s="57"/>
      <c r="D469" s="57"/>
      <c r="E469" s="58"/>
      <c r="F469" s="57"/>
      <c r="G469" s="59"/>
      <c r="H469" s="59"/>
      <c r="I469" s="59"/>
      <c r="J469" s="59"/>
      <c r="K469" s="59"/>
      <c r="L469" s="59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</row>
    <row r="470">
      <c r="A470" s="57"/>
      <c r="B470" s="57"/>
      <c r="C470" s="57"/>
      <c r="D470" s="57"/>
      <c r="E470" s="58"/>
      <c r="F470" s="57"/>
      <c r="G470" s="59"/>
      <c r="H470" s="59"/>
      <c r="I470" s="59"/>
      <c r="J470" s="59"/>
      <c r="K470" s="59"/>
      <c r="L470" s="59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</row>
    <row r="471">
      <c r="A471" s="57"/>
      <c r="B471" s="57"/>
      <c r="C471" s="57"/>
      <c r="D471" s="57"/>
      <c r="E471" s="58"/>
      <c r="F471" s="57"/>
      <c r="G471" s="59"/>
      <c r="H471" s="59"/>
      <c r="I471" s="59"/>
      <c r="J471" s="59"/>
      <c r="K471" s="59"/>
      <c r="L471" s="59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</row>
    <row r="472">
      <c r="A472" s="57"/>
      <c r="B472" s="57"/>
      <c r="C472" s="57"/>
      <c r="D472" s="57"/>
      <c r="E472" s="58"/>
      <c r="F472" s="57"/>
      <c r="G472" s="59"/>
      <c r="H472" s="59"/>
      <c r="I472" s="59"/>
      <c r="J472" s="59"/>
      <c r="K472" s="59"/>
      <c r="L472" s="59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</row>
    <row r="473">
      <c r="A473" s="57"/>
      <c r="B473" s="57"/>
      <c r="C473" s="57"/>
      <c r="D473" s="57"/>
      <c r="E473" s="58"/>
      <c r="F473" s="57"/>
      <c r="G473" s="59"/>
      <c r="H473" s="59"/>
      <c r="I473" s="59"/>
      <c r="J473" s="59"/>
      <c r="K473" s="59"/>
      <c r="L473" s="59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</row>
    <row r="474">
      <c r="A474" s="57"/>
      <c r="B474" s="57"/>
      <c r="C474" s="57"/>
      <c r="D474" s="57"/>
      <c r="E474" s="58"/>
      <c r="F474" s="57"/>
      <c r="G474" s="59"/>
      <c r="H474" s="59"/>
      <c r="I474" s="59"/>
      <c r="J474" s="59"/>
      <c r="K474" s="59"/>
      <c r="L474" s="59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</row>
    <row r="475">
      <c r="A475" s="57"/>
      <c r="B475" s="57"/>
      <c r="C475" s="57"/>
      <c r="D475" s="57"/>
      <c r="E475" s="58"/>
      <c r="F475" s="57"/>
      <c r="G475" s="59"/>
      <c r="H475" s="59"/>
      <c r="I475" s="59"/>
      <c r="J475" s="59"/>
      <c r="K475" s="59"/>
      <c r="L475" s="59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</row>
    <row r="476">
      <c r="A476" s="57"/>
      <c r="B476" s="57"/>
      <c r="C476" s="57"/>
      <c r="D476" s="57"/>
      <c r="E476" s="58"/>
      <c r="F476" s="57"/>
      <c r="G476" s="59"/>
      <c r="H476" s="59"/>
      <c r="I476" s="59"/>
      <c r="J476" s="59"/>
      <c r="K476" s="59"/>
      <c r="L476" s="59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</row>
    <row r="477">
      <c r="A477" s="57"/>
      <c r="B477" s="57"/>
      <c r="C477" s="57"/>
      <c r="D477" s="57"/>
      <c r="E477" s="58"/>
      <c r="F477" s="57"/>
      <c r="G477" s="59"/>
      <c r="H477" s="59"/>
      <c r="I477" s="59"/>
      <c r="J477" s="59"/>
      <c r="K477" s="59"/>
      <c r="L477" s="59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</row>
    <row r="478">
      <c r="A478" s="57"/>
      <c r="B478" s="57"/>
      <c r="C478" s="57"/>
      <c r="D478" s="57"/>
      <c r="E478" s="58"/>
      <c r="F478" s="57"/>
      <c r="G478" s="59"/>
      <c r="H478" s="59"/>
      <c r="I478" s="59"/>
      <c r="J478" s="59"/>
      <c r="K478" s="59"/>
      <c r="L478" s="59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</row>
    <row r="479">
      <c r="A479" s="57"/>
      <c r="B479" s="57"/>
      <c r="C479" s="57"/>
      <c r="D479" s="57"/>
      <c r="E479" s="58"/>
      <c r="F479" s="57"/>
      <c r="G479" s="59"/>
      <c r="H479" s="59"/>
      <c r="I479" s="59"/>
      <c r="J479" s="59"/>
      <c r="K479" s="59"/>
      <c r="L479" s="59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</row>
    <row r="480">
      <c r="A480" s="57"/>
      <c r="B480" s="57"/>
      <c r="C480" s="57"/>
      <c r="D480" s="57"/>
      <c r="E480" s="58"/>
      <c r="F480" s="57"/>
      <c r="G480" s="59"/>
      <c r="H480" s="59"/>
      <c r="I480" s="59"/>
      <c r="J480" s="59"/>
      <c r="K480" s="59"/>
      <c r="L480" s="59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</row>
    <row r="481">
      <c r="A481" s="57"/>
      <c r="B481" s="57"/>
      <c r="C481" s="57"/>
      <c r="D481" s="57"/>
      <c r="E481" s="58"/>
      <c r="F481" s="57"/>
      <c r="G481" s="59"/>
      <c r="H481" s="59"/>
      <c r="I481" s="59"/>
      <c r="J481" s="59"/>
      <c r="K481" s="59"/>
      <c r="L481" s="59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</row>
    <row r="482">
      <c r="A482" s="57"/>
      <c r="B482" s="57"/>
      <c r="C482" s="57"/>
      <c r="D482" s="57"/>
      <c r="E482" s="58"/>
      <c r="F482" s="57"/>
      <c r="G482" s="59"/>
      <c r="H482" s="59"/>
      <c r="I482" s="59"/>
      <c r="J482" s="59"/>
      <c r="K482" s="59"/>
      <c r="L482" s="59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</row>
    <row r="483">
      <c r="A483" s="57"/>
      <c r="B483" s="57"/>
      <c r="C483" s="57"/>
      <c r="D483" s="57"/>
      <c r="E483" s="58"/>
      <c r="F483" s="57"/>
      <c r="G483" s="59"/>
      <c r="H483" s="59"/>
      <c r="I483" s="59"/>
      <c r="J483" s="59"/>
      <c r="K483" s="59"/>
      <c r="L483" s="59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</row>
    <row r="484">
      <c r="A484" s="57"/>
      <c r="B484" s="57"/>
      <c r="C484" s="57"/>
      <c r="D484" s="57"/>
      <c r="E484" s="58"/>
      <c r="F484" s="57"/>
      <c r="G484" s="59"/>
      <c r="H484" s="59"/>
      <c r="I484" s="59"/>
      <c r="J484" s="59"/>
      <c r="K484" s="59"/>
      <c r="L484" s="59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</row>
    <row r="485">
      <c r="A485" s="57"/>
      <c r="B485" s="57"/>
      <c r="C485" s="57"/>
      <c r="D485" s="57"/>
      <c r="E485" s="58"/>
      <c r="F485" s="57"/>
      <c r="G485" s="59"/>
      <c r="H485" s="59"/>
      <c r="I485" s="59"/>
      <c r="J485" s="59"/>
      <c r="K485" s="59"/>
      <c r="L485" s="59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</row>
    <row r="486">
      <c r="A486" s="57"/>
      <c r="B486" s="57"/>
      <c r="C486" s="57"/>
      <c r="D486" s="57"/>
      <c r="E486" s="58"/>
      <c r="F486" s="57"/>
      <c r="G486" s="59"/>
      <c r="H486" s="59"/>
      <c r="I486" s="59"/>
      <c r="J486" s="59"/>
      <c r="K486" s="59"/>
      <c r="L486" s="59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</row>
    <row r="487">
      <c r="A487" s="57"/>
      <c r="B487" s="57"/>
      <c r="C487" s="57"/>
      <c r="D487" s="57"/>
      <c r="E487" s="58"/>
      <c r="F487" s="57"/>
      <c r="G487" s="59"/>
      <c r="H487" s="59"/>
      <c r="I487" s="59"/>
      <c r="J487" s="59"/>
      <c r="K487" s="59"/>
      <c r="L487" s="59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</row>
    <row r="488">
      <c r="A488" s="57"/>
      <c r="B488" s="57"/>
      <c r="C488" s="57"/>
      <c r="D488" s="57"/>
      <c r="E488" s="58"/>
      <c r="F488" s="57"/>
      <c r="G488" s="59"/>
      <c r="H488" s="59"/>
      <c r="I488" s="59"/>
      <c r="J488" s="59"/>
      <c r="K488" s="59"/>
      <c r="L488" s="59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</row>
    <row r="489">
      <c r="A489" s="57"/>
      <c r="B489" s="57"/>
      <c r="C489" s="57"/>
      <c r="D489" s="57"/>
      <c r="E489" s="58"/>
      <c r="F489" s="57"/>
      <c r="G489" s="59"/>
      <c r="H489" s="59"/>
      <c r="I489" s="59"/>
      <c r="J489" s="59"/>
      <c r="K489" s="59"/>
      <c r="L489" s="59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</row>
    <row r="490">
      <c r="A490" s="57"/>
      <c r="B490" s="57"/>
      <c r="C490" s="57"/>
      <c r="D490" s="57"/>
      <c r="E490" s="58"/>
      <c r="F490" s="57"/>
      <c r="G490" s="59"/>
      <c r="H490" s="59"/>
      <c r="I490" s="59"/>
      <c r="J490" s="59"/>
      <c r="K490" s="59"/>
      <c r="L490" s="59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</row>
    <row r="491">
      <c r="A491" s="57"/>
      <c r="B491" s="57"/>
      <c r="C491" s="57"/>
      <c r="D491" s="57"/>
      <c r="E491" s="58"/>
      <c r="F491" s="57"/>
      <c r="G491" s="59"/>
      <c r="H491" s="59"/>
      <c r="I491" s="59"/>
      <c r="J491" s="59"/>
      <c r="K491" s="59"/>
      <c r="L491" s="59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</row>
    <row r="492">
      <c r="A492" s="57"/>
      <c r="B492" s="57"/>
      <c r="C492" s="57"/>
      <c r="D492" s="57"/>
      <c r="E492" s="58"/>
      <c r="F492" s="57"/>
      <c r="G492" s="59"/>
      <c r="H492" s="59"/>
      <c r="I492" s="59"/>
      <c r="J492" s="59"/>
      <c r="K492" s="59"/>
      <c r="L492" s="59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</row>
    <row r="493">
      <c r="A493" s="57"/>
      <c r="B493" s="57"/>
      <c r="C493" s="57"/>
      <c r="D493" s="57"/>
      <c r="E493" s="58"/>
      <c r="F493" s="57"/>
      <c r="G493" s="59"/>
      <c r="H493" s="59"/>
      <c r="I493" s="59"/>
      <c r="J493" s="59"/>
      <c r="K493" s="59"/>
      <c r="L493" s="59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</row>
    <row r="494">
      <c r="A494" s="57"/>
      <c r="B494" s="57"/>
      <c r="C494" s="57"/>
      <c r="D494" s="57"/>
      <c r="E494" s="58"/>
      <c r="F494" s="57"/>
      <c r="G494" s="59"/>
      <c r="H494" s="59"/>
      <c r="I494" s="59"/>
      <c r="J494" s="59"/>
      <c r="K494" s="59"/>
      <c r="L494" s="59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</row>
    <row r="495">
      <c r="A495" s="57"/>
      <c r="B495" s="57"/>
      <c r="C495" s="57"/>
      <c r="D495" s="57"/>
      <c r="E495" s="58"/>
      <c r="F495" s="57"/>
      <c r="G495" s="59"/>
      <c r="H495" s="59"/>
      <c r="I495" s="59"/>
      <c r="J495" s="59"/>
      <c r="K495" s="59"/>
      <c r="L495" s="59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</row>
    <row r="496">
      <c r="A496" s="57"/>
      <c r="B496" s="57"/>
      <c r="C496" s="57"/>
      <c r="D496" s="57"/>
      <c r="E496" s="58"/>
      <c r="F496" s="57"/>
      <c r="G496" s="59"/>
      <c r="H496" s="59"/>
      <c r="I496" s="59"/>
      <c r="J496" s="59"/>
      <c r="K496" s="59"/>
      <c r="L496" s="59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</row>
    <row r="497">
      <c r="A497" s="57"/>
      <c r="B497" s="57"/>
      <c r="C497" s="57"/>
      <c r="D497" s="57"/>
      <c r="E497" s="58"/>
      <c r="F497" s="57"/>
      <c r="G497" s="59"/>
      <c r="H497" s="59"/>
      <c r="I497" s="59"/>
      <c r="J497" s="59"/>
      <c r="K497" s="59"/>
      <c r="L497" s="59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</row>
    <row r="498">
      <c r="A498" s="57"/>
      <c r="B498" s="57"/>
      <c r="C498" s="57"/>
      <c r="D498" s="57"/>
      <c r="E498" s="58"/>
      <c r="F498" s="57"/>
      <c r="G498" s="59"/>
      <c r="H498" s="59"/>
      <c r="I498" s="59"/>
      <c r="J498" s="59"/>
      <c r="K498" s="59"/>
      <c r="L498" s="59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</row>
    <row r="499">
      <c r="A499" s="57"/>
      <c r="B499" s="57"/>
      <c r="C499" s="57"/>
      <c r="D499" s="57"/>
      <c r="E499" s="58"/>
      <c r="F499" s="57"/>
      <c r="G499" s="59"/>
      <c r="H499" s="59"/>
      <c r="I499" s="59"/>
      <c r="J499" s="59"/>
      <c r="K499" s="59"/>
      <c r="L499" s="59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</row>
    <row r="500">
      <c r="A500" s="57"/>
      <c r="B500" s="57"/>
      <c r="C500" s="57"/>
      <c r="D500" s="57"/>
      <c r="E500" s="58"/>
      <c r="F500" s="57"/>
      <c r="G500" s="59"/>
      <c r="H500" s="59"/>
      <c r="I500" s="59"/>
      <c r="J500" s="59"/>
      <c r="K500" s="59"/>
      <c r="L500" s="59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</row>
    <row r="501">
      <c r="A501" s="57"/>
      <c r="B501" s="57"/>
      <c r="C501" s="57"/>
      <c r="D501" s="57"/>
      <c r="E501" s="58"/>
      <c r="F501" s="57"/>
      <c r="G501" s="59"/>
      <c r="H501" s="59"/>
      <c r="I501" s="59"/>
      <c r="J501" s="59"/>
      <c r="K501" s="59"/>
      <c r="L501" s="59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</row>
    <row r="502">
      <c r="A502" s="57"/>
      <c r="B502" s="57"/>
      <c r="C502" s="57"/>
      <c r="D502" s="57"/>
      <c r="E502" s="58"/>
      <c r="F502" s="57"/>
      <c r="G502" s="59"/>
      <c r="H502" s="59"/>
      <c r="I502" s="59"/>
      <c r="J502" s="59"/>
      <c r="K502" s="59"/>
      <c r="L502" s="59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</row>
    <row r="503">
      <c r="A503" s="57"/>
      <c r="B503" s="57"/>
      <c r="C503" s="57"/>
      <c r="D503" s="57"/>
      <c r="E503" s="58"/>
      <c r="F503" s="57"/>
      <c r="G503" s="59"/>
      <c r="H503" s="59"/>
      <c r="I503" s="59"/>
      <c r="J503" s="59"/>
      <c r="K503" s="59"/>
      <c r="L503" s="59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</row>
    <row r="504">
      <c r="A504" s="57"/>
      <c r="B504" s="57"/>
      <c r="C504" s="57"/>
      <c r="D504" s="57"/>
      <c r="E504" s="58"/>
      <c r="F504" s="57"/>
      <c r="G504" s="59"/>
      <c r="H504" s="59"/>
      <c r="I504" s="59"/>
      <c r="J504" s="59"/>
      <c r="K504" s="59"/>
      <c r="L504" s="59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</row>
    <row r="505">
      <c r="A505" s="57"/>
      <c r="B505" s="57"/>
      <c r="C505" s="57"/>
      <c r="D505" s="57"/>
      <c r="E505" s="58"/>
      <c r="F505" s="57"/>
      <c r="G505" s="59"/>
      <c r="H505" s="59"/>
      <c r="I505" s="59"/>
      <c r="J505" s="59"/>
      <c r="K505" s="59"/>
      <c r="L505" s="59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</row>
    <row r="506">
      <c r="A506" s="57"/>
      <c r="B506" s="57"/>
      <c r="C506" s="57"/>
      <c r="D506" s="57"/>
      <c r="E506" s="58"/>
      <c r="F506" s="57"/>
      <c r="G506" s="59"/>
      <c r="H506" s="59"/>
      <c r="I506" s="59"/>
      <c r="J506" s="59"/>
      <c r="K506" s="59"/>
      <c r="L506" s="59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</row>
    <row r="507">
      <c r="A507" s="57"/>
      <c r="B507" s="57"/>
      <c r="C507" s="57"/>
      <c r="D507" s="57"/>
      <c r="E507" s="58"/>
      <c r="F507" s="57"/>
      <c r="G507" s="59"/>
      <c r="H507" s="59"/>
      <c r="I507" s="59"/>
      <c r="J507" s="59"/>
      <c r="K507" s="59"/>
      <c r="L507" s="59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</row>
    <row r="508">
      <c r="A508" s="57"/>
      <c r="B508" s="57"/>
      <c r="C508" s="57"/>
      <c r="D508" s="57"/>
      <c r="E508" s="58"/>
      <c r="F508" s="57"/>
      <c r="G508" s="59"/>
      <c r="H508" s="59"/>
      <c r="I508" s="59"/>
      <c r="J508" s="59"/>
      <c r="K508" s="59"/>
      <c r="L508" s="59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</row>
    <row r="509">
      <c r="A509" s="57"/>
      <c r="B509" s="57"/>
      <c r="C509" s="57"/>
      <c r="D509" s="57"/>
      <c r="E509" s="58"/>
      <c r="F509" s="57"/>
      <c r="G509" s="59"/>
      <c r="H509" s="59"/>
      <c r="I509" s="59"/>
      <c r="J509" s="59"/>
      <c r="K509" s="59"/>
      <c r="L509" s="59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</row>
    <row r="510">
      <c r="A510" s="57"/>
      <c r="B510" s="57"/>
      <c r="C510" s="57"/>
      <c r="D510" s="57"/>
      <c r="E510" s="58"/>
      <c r="F510" s="57"/>
      <c r="G510" s="59"/>
      <c r="H510" s="59"/>
      <c r="I510" s="59"/>
      <c r="J510" s="59"/>
      <c r="K510" s="59"/>
      <c r="L510" s="59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</row>
    <row r="511">
      <c r="A511" s="57"/>
      <c r="B511" s="57"/>
      <c r="C511" s="57"/>
      <c r="D511" s="57"/>
      <c r="E511" s="58"/>
      <c r="F511" s="57"/>
      <c r="G511" s="59"/>
      <c r="H511" s="59"/>
      <c r="I511" s="59"/>
      <c r="J511" s="59"/>
      <c r="K511" s="59"/>
      <c r="L511" s="59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</row>
    <row r="512">
      <c r="A512" s="57"/>
      <c r="B512" s="57"/>
      <c r="C512" s="57"/>
      <c r="D512" s="57"/>
      <c r="E512" s="58"/>
      <c r="F512" s="57"/>
      <c r="G512" s="59"/>
      <c r="H512" s="59"/>
      <c r="I512" s="59"/>
      <c r="J512" s="59"/>
      <c r="K512" s="59"/>
      <c r="L512" s="59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</row>
    <row r="513">
      <c r="A513" s="57"/>
      <c r="B513" s="57"/>
      <c r="C513" s="57"/>
      <c r="D513" s="57"/>
      <c r="E513" s="58"/>
      <c r="F513" s="57"/>
      <c r="G513" s="59"/>
      <c r="H513" s="59"/>
      <c r="I513" s="59"/>
      <c r="J513" s="59"/>
      <c r="K513" s="59"/>
      <c r="L513" s="59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</row>
    <row r="514">
      <c r="A514" s="57"/>
      <c r="B514" s="57"/>
      <c r="C514" s="57"/>
      <c r="D514" s="57"/>
      <c r="E514" s="58"/>
      <c r="F514" s="57"/>
      <c r="G514" s="59"/>
      <c r="H514" s="59"/>
      <c r="I514" s="59"/>
      <c r="J514" s="59"/>
      <c r="K514" s="59"/>
      <c r="L514" s="59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</row>
    <row r="515">
      <c r="A515" s="57"/>
      <c r="B515" s="57"/>
      <c r="C515" s="57"/>
      <c r="D515" s="57"/>
      <c r="E515" s="58"/>
      <c r="F515" s="57"/>
      <c r="G515" s="59"/>
      <c r="H515" s="59"/>
      <c r="I515" s="59"/>
      <c r="J515" s="59"/>
      <c r="K515" s="59"/>
      <c r="L515" s="59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</row>
    <row r="516">
      <c r="A516" s="57"/>
      <c r="B516" s="57"/>
      <c r="C516" s="57"/>
      <c r="D516" s="57"/>
      <c r="E516" s="58"/>
      <c r="F516" s="57"/>
      <c r="G516" s="59"/>
      <c r="H516" s="59"/>
      <c r="I516" s="59"/>
      <c r="J516" s="59"/>
      <c r="K516" s="59"/>
      <c r="L516" s="59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</row>
    <row r="517">
      <c r="A517" s="57"/>
      <c r="B517" s="57"/>
      <c r="C517" s="57"/>
      <c r="D517" s="57"/>
      <c r="E517" s="58"/>
      <c r="F517" s="57"/>
      <c r="G517" s="59"/>
      <c r="H517" s="59"/>
      <c r="I517" s="59"/>
      <c r="J517" s="59"/>
      <c r="K517" s="59"/>
      <c r="L517" s="59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</row>
    <row r="518">
      <c r="A518" s="57"/>
      <c r="B518" s="57"/>
      <c r="C518" s="57"/>
      <c r="D518" s="57"/>
      <c r="E518" s="58"/>
      <c r="F518" s="57"/>
      <c r="G518" s="59"/>
      <c r="H518" s="59"/>
      <c r="I518" s="59"/>
      <c r="J518" s="59"/>
      <c r="K518" s="59"/>
      <c r="L518" s="59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</row>
    <row r="519">
      <c r="A519" s="57"/>
      <c r="B519" s="57"/>
      <c r="C519" s="57"/>
      <c r="D519" s="57"/>
      <c r="E519" s="58"/>
      <c r="F519" s="57"/>
      <c r="G519" s="59"/>
      <c r="H519" s="59"/>
      <c r="I519" s="59"/>
      <c r="J519" s="59"/>
      <c r="K519" s="59"/>
      <c r="L519" s="59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</row>
    <row r="520">
      <c r="A520" s="57"/>
      <c r="B520" s="57"/>
      <c r="C520" s="57"/>
      <c r="D520" s="57"/>
      <c r="E520" s="58"/>
      <c r="F520" s="57"/>
      <c r="G520" s="59"/>
      <c r="H520" s="59"/>
      <c r="I520" s="59"/>
      <c r="J520" s="59"/>
      <c r="K520" s="59"/>
      <c r="L520" s="59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</row>
    <row r="521">
      <c r="A521" s="57"/>
      <c r="B521" s="57"/>
      <c r="C521" s="57"/>
      <c r="D521" s="57"/>
      <c r="E521" s="58"/>
      <c r="F521" s="57"/>
      <c r="G521" s="59"/>
      <c r="H521" s="59"/>
      <c r="I521" s="59"/>
      <c r="J521" s="59"/>
      <c r="K521" s="59"/>
      <c r="L521" s="59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</row>
    <row r="522">
      <c r="A522" s="57"/>
      <c r="B522" s="57"/>
      <c r="C522" s="57"/>
      <c r="D522" s="57"/>
      <c r="E522" s="58"/>
      <c r="F522" s="57"/>
      <c r="G522" s="59"/>
      <c r="H522" s="59"/>
      <c r="I522" s="59"/>
      <c r="J522" s="59"/>
      <c r="K522" s="59"/>
      <c r="L522" s="59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</row>
    <row r="523">
      <c r="A523" s="57"/>
      <c r="B523" s="57"/>
      <c r="C523" s="57"/>
      <c r="D523" s="57"/>
      <c r="E523" s="58"/>
      <c r="F523" s="57"/>
      <c r="G523" s="59"/>
      <c r="H523" s="59"/>
      <c r="I523" s="59"/>
      <c r="J523" s="59"/>
      <c r="K523" s="59"/>
      <c r="L523" s="59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</row>
    <row r="524">
      <c r="A524" s="57"/>
      <c r="B524" s="57"/>
      <c r="C524" s="57"/>
      <c r="D524" s="57"/>
      <c r="E524" s="58"/>
      <c r="F524" s="57"/>
      <c r="G524" s="59"/>
      <c r="H524" s="59"/>
      <c r="I524" s="59"/>
      <c r="J524" s="59"/>
      <c r="K524" s="59"/>
      <c r="L524" s="59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</row>
    <row r="525">
      <c r="A525" s="57"/>
      <c r="B525" s="57"/>
      <c r="C525" s="57"/>
      <c r="D525" s="57"/>
      <c r="E525" s="58"/>
      <c r="F525" s="57"/>
      <c r="G525" s="59"/>
      <c r="H525" s="59"/>
      <c r="I525" s="59"/>
      <c r="J525" s="59"/>
      <c r="K525" s="59"/>
      <c r="L525" s="59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</row>
    <row r="526">
      <c r="A526" s="57"/>
      <c r="B526" s="57"/>
      <c r="C526" s="57"/>
      <c r="D526" s="57"/>
      <c r="E526" s="58"/>
      <c r="F526" s="57"/>
      <c r="G526" s="59"/>
      <c r="H526" s="59"/>
      <c r="I526" s="59"/>
      <c r="J526" s="59"/>
      <c r="K526" s="59"/>
      <c r="L526" s="59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</row>
    <row r="527">
      <c r="A527" s="57"/>
      <c r="B527" s="57"/>
      <c r="C527" s="57"/>
      <c r="D527" s="57"/>
      <c r="E527" s="58"/>
      <c r="F527" s="57"/>
      <c r="G527" s="59"/>
      <c r="H527" s="59"/>
      <c r="I527" s="59"/>
      <c r="J527" s="59"/>
      <c r="K527" s="59"/>
      <c r="L527" s="59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</row>
    <row r="528">
      <c r="A528" s="57"/>
      <c r="B528" s="57"/>
      <c r="C528" s="57"/>
      <c r="D528" s="57"/>
      <c r="E528" s="58"/>
      <c r="F528" s="57"/>
      <c r="G528" s="59"/>
      <c r="H528" s="59"/>
      <c r="I528" s="59"/>
      <c r="J528" s="59"/>
      <c r="K528" s="59"/>
      <c r="L528" s="59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</row>
    <row r="529">
      <c r="A529" s="57"/>
      <c r="B529" s="57"/>
      <c r="C529" s="57"/>
      <c r="D529" s="57"/>
      <c r="E529" s="58"/>
      <c r="F529" s="57"/>
      <c r="G529" s="59"/>
      <c r="H529" s="59"/>
      <c r="I529" s="59"/>
      <c r="J529" s="59"/>
      <c r="K529" s="59"/>
      <c r="L529" s="59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</row>
    <row r="530">
      <c r="A530" s="57"/>
      <c r="B530" s="57"/>
      <c r="C530" s="57"/>
      <c r="D530" s="57"/>
      <c r="E530" s="58"/>
      <c r="F530" s="57"/>
      <c r="G530" s="59"/>
      <c r="H530" s="59"/>
      <c r="I530" s="59"/>
      <c r="J530" s="59"/>
      <c r="K530" s="59"/>
      <c r="L530" s="59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</row>
    <row r="531">
      <c r="A531" s="57"/>
      <c r="B531" s="57"/>
      <c r="C531" s="57"/>
      <c r="D531" s="57"/>
      <c r="E531" s="58"/>
      <c r="F531" s="57"/>
      <c r="G531" s="59"/>
      <c r="H531" s="59"/>
      <c r="I531" s="59"/>
      <c r="J531" s="59"/>
      <c r="K531" s="59"/>
      <c r="L531" s="59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</row>
    <row r="532">
      <c r="A532" s="57"/>
      <c r="B532" s="57"/>
      <c r="C532" s="57"/>
      <c r="D532" s="57"/>
      <c r="E532" s="58"/>
      <c r="F532" s="57"/>
      <c r="G532" s="59"/>
      <c r="H532" s="59"/>
      <c r="I532" s="59"/>
      <c r="J532" s="59"/>
      <c r="K532" s="59"/>
      <c r="L532" s="59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</row>
    <row r="533">
      <c r="A533" s="57"/>
      <c r="B533" s="57"/>
      <c r="C533" s="57"/>
      <c r="D533" s="57"/>
      <c r="E533" s="58"/>
      <c r="F533" s="57"/>
      <c r="G533" s="59"/>
      <c r="H533" s="59"/>
      <c r="I533" s="59"/>
      <c r="J533" s="59"/>
      <c r="K533" s="59"/>
      <c r="L533" s="59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</row>
    <row r="534">
      <c r="A534" s="57"/>
      <c r="B534" s="57"/>
      <c r="C534" s="57"/>
      <c r="D534" s="57"/>
      <c r="E534" s="58"/>
      <c r="F534" s="57"/>
      <c r="G534" s="59"/>
      <c r="H534" s="59"/>
      <c r="I534" s="59"/>
      <c r="J534" s="59"/>
      <c r="K534" s="59"/>
      <c r="L534" s="59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</row>
    <row r="535">
      <c r="A535" s="57"/>
      <c r="B535" s="57"/>
      <c r="C535" s="57"/>
      <c r="D535" s="57"/>
      <c r="E535" s="58"/>
      <c r="F535" s="57"/>
      <c r="G535" s="59"/>
      <c r="H535" s="59"/>
      <c r="I535" s="59"/>
      <c r="J535" s="59"/>
      <c r="K535" s="59"/>
      <c r="L535" s="59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</row>
    <row r="536">
      <c r="A536" s="57"/>
      <c r="B536" s="57"/>
      <c r="C536" s="57"/>
      <c r="D536" s="57"/>
      <c r="E536" s="58"/>
      <c r="F536" s="57"/>
      <c r="G536" s="59"/>
      <c r="H536" s="59"/>
      <c r="I536" s="59"/>
      <c r="J536" s="59"/>
      <c r="K536" s="59"/>
      <c r="L536" s="59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</row>
    <row r="537">
      <c r="A537" s="57"/>
      <c r="B537" s="57"/>
      <c r="C537" s="57"/>
      <c r="D537" s="57"/>
      <c r="E537" s="58"/>
      <c r="F537" s="57"/>
      <c r="G537" s="59"/>
      <c r="H537" s="59"/>
      <c r="I537" s="59"/>
      <c r="J537" s="59"/>
      <c r="K537" s="59"/>
      <c r="L537" s="59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</row>
    <row r="538">
      <c r="A538" s="57"/>
      <c r="B538" s="57"/>
      <c r="C538" s="57"/>
      <c r="D538" s="57"/>
      <c r="E538" s="58"/>
      <c r="F538" s="57"/>
      <c r="G538" s="59"/>
      <c r="H538" s="59"/>
      <c r="I538" s="59"/>
      <c r="J538" s="59"/>
      <c r="K538" s="59"/>
      <c r="L538" s="59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</row>
    <row r="539">
      <c r="A539" s="57"/>
      <c r="B539" s="57"/>
      <c r="C539" s="57"/>
      <c r="D539" s="57"/>
      <c r="E539" s="58"/>
      <c r="F539" s="57"/>
      <c r="G539" s="59"/>
      <c r="H539" s="59"/>
      <c r="I539" s="59"/>
      <c r="J539" s="59"/>
      <c r="K539" s="59"/>
      <c r="L539" s="59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</row>
    <row r="540">
      <c r="A540" s="57"/>
      <c r="B540" s="57"/>
      <c r="C540" s="57"/>
      <c r="D540" s="57"/>
      <c r="E540" s="58"/>
      <c r="F540" s="57"/>
      <c r="G540" s="59"/>
      <c r="H540" s="59"/>
      <c r="I540" s="59"/>
      <c r="J540" s="59"/>
      <c r="K540" s="59"/>
      <c r="L540" s="59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</row>
    <row r="541">
      <c r="A541" s="57"/>
      <c r="B541" s="57"/>
      <c r="C541" s="57"/>
      <c r="D541" s="57"/>
      <c r="E541" s="58"/>
      <c r="F541" s="57"/>
      <c r="G541" s="59"/>
      <c r="H541" s="59"/>
      <c r="I541" s="59"/>
      <c r="J541" s="59"/>
      <c r="K541" s="59"/>
      <c r="L541" s="59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</row>
    <row r="542">
      <c r="A542" s="57"/>
      <c r="B542" s="57"/>
      <c r="C542" s="57"/>
      <c r="D542" s="57"/>
      <c r="E542" s="58"/>
      <c r="F542" s="57"/>
      <c r="G542" s="59"/>
      <c r="H542" s="59"/>
      <c r="I542" s="59"/>
      <c r="J542" s="59"/>
      <c r="K542" s="59"/>
      <c r="L542" s="59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</row>
    <row r="543">
      <c r="A543" s="57"/>
      <c r="B543" s="57"/>
      <c r="C543" s="57"/>
      <c r="D543" s="57"/>
      <c r="E543" s="58"/>
      <c r="F543" s="57"/>
      <c r="G543" s="59"/>
      <c r="H543" s="59"/>
      <c r="I543" s="59"/>
      <c r="J543" s="59"/>
      <c r="K543" s="59"/>
      <c r="L543" s="59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</row>
    <row r="544">
      <c r="A544" s="57"/>
      <c r="B544" s="57"/>
      <c r="C544" s="57"/>
      <c r="D544" s="57"/>
      <c r="E544" s="58"/>
      <c r="F544" s="57"/>
      <c r="G544" s="59"/>
      <c r="H544" s="59"/>
      <c r="I544" s="59"/>
      <c r="J544" s="59"/>
      <c r="K544" s="59"/>
      <c r="L544" s="59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</row>
    <row r="545">
      <c r="A545" s="57"/>
      <c r="B545" s="57"/>
      <c r="C545" s="57"/>
      <c r="D545" s="57"/>
      <c r="E545" s="58"/>
      <c r="F545" s="57"/>
      <c r="G545" s="59"/>
      <c r="H545" s="59"/>
      <c r="I545" s="59"/>
      <c r="J545" s="59"/>
      <c r="K545" s="59"/>
      <c r="L545" s="59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</row>
    <row r="546">
      <c r="A546" s="57"/>
      <c r="B546" s="57"/>
      <c r="C546" s="57"/>
      <c r="D546" s="57"/>
      <c r="E546" s="58"/>
      <c r="F546" s="57"/>
      <c r="G546" s="59"/>
      <c r="H546" s="59"/>
      <c r="I546" s="59"/>
      <c r="J546" s="59"/>
      <c r="K546" s="59"/>
      <c r="L546" s="59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</row>
    <row r="547">
      <c r="A547" s="57"/>
      <c r="B547" s="57"/>
      <c r="C547" s="57"/>
      <c r="D547" s="57"/>
      <c r="E547" s="58"/>
      <c r="F547" s="57"/>
      <c r="G547" s="59"/>
      <c r="H547" s="59"/>
      <c r="I547" s="59"/>
      <c r="J547" s="59"/>
      <c r="K547" s="59"/>
      <c r="L547" s="59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</row>
    <row r="548">
      <c r="A548" s="57"/>
      <c r="B548" s="57"/>
      <c r="C548" s="57"/>
      <c r="D548" s="57"/>
      <c r="E548" s="58"/>
      <c r="F548" s="57"/>
      <c r="G548" s="59"/>
      <c r="H548" s="59"/>
      <c r="I548" s="59"/>
      <c r="J548" s="59"/>
      <c r="K548" s="59"/>
      <c r="L548" s="59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</row>
    <row r="549">
      <c r="A549" s="57"/>
      <c r="B549" s="57"/>
      <c r="C549" s="57"/>
      <c r="D549" s="57"/>
      <c r="E549" s="58"/>
      <c r="F549" s="57"/>
      <c r="G549" s="59"/>
      <c r="H549" s="59"/>
      <c r="I549" s="59"/>
      <c r="J549" s="59"/>
      <c r="K549" s="59"/>
      <c r="L549" s="59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</row>
    <row r="550">
      <c r="A550" s="57"/>
      <c r="B550" s="57"/>
      <c r="C550" s="57"/>
      <c r="D550" s="57"/>
      <c r="E550" s="58"/>
      <c r="F550" s="57"/>
      <c r="G550" s="59"/>
      <c r="H550" s="59"/>
      <c r="I550" s="59"/>
      <c r="J550" s="59"/>
      <c r="K550" s="59"/>
      <c r="L550" s="59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</row>
    <row r="551">
      <c r="A551" s="57"/>
      <c r="B551" s="57"/>
      <c r="C551" s="57"/>
      <c r="D551" s="57"/>
      <c r="E551" s="58"/>
      <c r="F551" s="57"/>
      <c r="G551" s="59"/>
      <c r="H551" s="59"/>
      <c r="I551" s="59"/>
      <c r="J551" s="59"/>
      <c r="K551" s="59"/>
      <c r="L551" s="59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</row>
    <row r="552">
      <c r="A552" s="57"/>
      <c r="B552" s="57"/>
      <c r="C552" s="57"/>
      <c r="D552" s="57"/>
      <c r="E552" s="58"/>
      <c r="F552" s="57"/>
      <c r="G552" s="59"/>
      <c r="H552" s="59"/>
      <c r="I552" s="59"/>
      <c r="J552" s="59"/>
      <c r="K552" s="59"/>
      <c r="L552" s="59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</row>
    <row r="553">
      <c r="A553" s="57"/>
      <c r="B553" s="57"/>
      <c r="C553" s="57"/>
      <c r="D553" s="57"/>
      <c r="E553" s="58"/>
      <c r="F553" s="57"/>
      <c r="G553" s="59"/>
      <c r="H553" s="59"/>
      <c r="I553" s="59"/>
      <c r="J553" s="59"/>
      <c r="K553" s="59"/>
      <c r="L553" s="59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</row>
    <row r="554">
      <c r="A554" s="57"/>
      <c r="B554" s="57"/>
      <c r="C554" s="57"/>
      <c r="D554" s="57"/>
      <c r="E554" s="58"/>
      <c r="F554" s="57"/>
      <c r="G554" s="59"/>
      <c r="H554" s="59"/>
      <c r="I554" s="59"/>
      <c r="J554" s="59"/>
      <c r="K554" s="59"/>
      <c r="L554" s="59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</row>
    <row r="555">
      <c r="A555" s="57"/>
      <c r="B555" s="57"/>
      <c r="C555" s="57"/>
      <c r="D555" s="57"/>
      <c r="E555" s="58"/>
      <c r="F555" s="57"/>
      <c r="G555" s="59"/>
      <c r="H555" s="59"/>
      <c r="I555" s="59"/>
      <c r="J555" s="59"/>
      <c r="K555" s="59"/>
      <c r="L555" s="59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</row>
    <row r="556">
      <c r="A556" s="57"/>
      <c r="B556" s="57"/>
      <c r="C556" s="57"/>
      <c r="D556" s="57"/>
      <c r="E556" s="58"/>
      <c r="F556" s="57"/>
      <c r="G556" s="59"/>
      <c r="H556" s="59"/>
      <c r="I556" s="59"/>
      <c r="J556" s="59"/>
      <c r="K556" s="59"/>
      <c r="L556" s="59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</row>
    <row r="557">
      <c r="A557" s="57"/>
      <c r="B557" s="57"/>
      <c r="C557" s="57"/>
      <c r="D557" s="57"/>
      <c r="E557" s="58"/>
      <c r="F557" s="57"/>
      <c r="G557" s="59"/>
      <c r="H557" s="59"/>
      <c r="I557" s="59"/>
      <c r="J557" s="59"/>
      <c r="K557" s="59"/>
      <c r="L557" s="59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</row>
    <row r="558">
      <c r="A558" s="57"/>
      <c r="B558" s="57"/>
      <c r="C558" s="57"/>
      <c r="D558" s="57"/>
      <c r="E558" s="58"/>
      <c r="F558" s="57"/>
      <c r="G558" s="59"/>
      <c r="H558" s="59"/>
      <c r="I558" s="59"/>
      <c r="J558" s="59"/>
      <c r="K558" s="59"/>
      <c r="L558" s="59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</row>
    <row r="559">
      <c r="A559" s="57"/>
      <c r="B559" s="57"/>
      <c r="C559" s="57"/>
      <c r="D559" s="57"/>
      <c r="E559" s="58"/>
      <c r="F559" s="57"/>
      <c r="G559" s="59"/>
      <c r="H559" s="59"/>
      <c r="I559" s="59"/>
      <c r="J559" s="59"/>
      <c r="K559" s="59"/>
      <c r="L559" s="59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</row>
    <row r="560">
      <c r="A560" s="57"/>
      <c r="B560" s="57"/>
      <c r="C560" s="57"/>
      <c r="D560" s="57"/>
      <c r="E560" s="58"/>
      <c r="F560" s="57"/>
      <c r="G560" s="59"/>
      <c r="H560" s="59"/>
      <c r="I560" s="59"/>
      <c r="J560" s="59"/>
      <c r="K560" s="59"/>
      <c r="L560" s="59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</row>
    <row r="561">
      <c r="A561" s="57"/>
      <c r="B561" s="57"/>
      <c r="C561" s="57"/>
      <c r="D561" s="57"/>
      <c r="E561" s="58"/>
      <c r="F561" s="57"/>
      <c r="G561" s="59"/>
      <c r="H561" s="59"/>
      <c r="I561" s="59"/>
      <c r="J561" s="59"/>
      <c r="K561" s="59"/>
      <c r="L561" s="59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</row>
    <row r="562">
      <c r="A562" s="57"/>
      <c r="B562" s="57"/>
      <c r="C562" s="57"/>
      <c r="D562" s="57"/>
      <c r="E562" s="58"/>
      <c r="F562" s="57"/>
      <c r="G562" s="59"/>
      <c r="H562" s="59"/>
      <c r="I562" s="59"/>
      <c r="J562" s="59"/>
      <c r="K562" s="59"/>
      <c r="L562" s="59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</row>
    <row r="563">
      <c r="A563" s="57"/>
      <c r="B563" s="57"/>
      <c r="C563" s="57"/>
      <c r="D563" s="57"/>
      <c r="E563" s="58"/>
      <c r="F563" s="57"/>
      <c r="G563" s="59"/>
      <c r="H563" s="59"/>
      <c r="I563" s="59"/>
      <c r="J563" s="59"/>
      <c r="K563" s="59"/>
      <c r="L563" s="59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</row>
    <row r="564">
      <c r="A564" s="57"/>
      <c r="B564" s="57"/>
      <c r="C564" s="57"/>
      <c r="D564" s="57"/>
      <c r="E564" s="58"/>
      <c r="F564" s="57"/>
      <c r="G564" s="59"/>
      <c r="H564" s="59"/>
      <c r="I564" s="59"/>
      <c r="J564" s="59"/>
      <c r="K564" s="59"/>
      <c r="L564" s="59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</row>
    <row r="565">
      <c r="A565" s="57"/>
      <c r="B565" s="57"/>
      <c r="C565" s="57"/>
      <c r="D565" s="57"/>
      <c r="E565" s="58"/>
      <c r="F565" s="57"/>
      <c r="G565" s="59"/>
      <c r="H565" s="59"/>
      <c r="I565" s="59"/>
      <c r="J565" s="59"/>
      <c r="K565" s="59"/>
      <c r="L565" s="59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</row>
    <row r="566">
      <c r="A566" s="57"/>
      <c r="B566" s="57"/>
      <c r="C566" s="57"/>
      <c r="D566" s="57"/>
      <c r="E566" s="58"/>
      <c r="F566" s="57"/>
      <c r="G566" s="59"/>
      <c r="H566" s="59"/>
      <c r="I566" s="59"/>
      <c r="J566" s="59"/>
      <c r="K566" s="59"/>
      <c r="L566" s="59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</row>
    <row r="567">
      <c r="A567" s="57"/>
      <c r="B567" s="57"/>
      <c r="C567" s="57"/>
      <c r="D567" s="57"/>
      <c r="E567" s="58"/>
      <c r="F567" s="57"/>
      <c r="G567" s="59"/>
      <c r="H567" s="59"/>
      <c r="I567" s="59"/>
      <c r="J567" s="59"/>
      <c r="K567" s="59"/>
      <c r="L567" s="59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</row>
    <row r="568">
      <c r="A568" s="57"/>
      <c r="B568" s="57"/>
      <c r="C568" s="57"/>
      <c r="D568" s="57"/>
      <c r="E568" s="58"/>
      <c r="F568" s="57"/>
      <c r="G568" s="59"/>
      <c r="H568" s="59"/>
      <c r="I568" s="59"/>
      <c r="J568" s="59"/>
      <c r="K568" s="59"/>
      <c r="L568" s="59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</row>
    <row r="569">
      <c r="A569" s="57"/>
      <c r="B569" s="57"/>
      <c r="C569" s="57"/>
      <c r="D569" s="57"/>
      <c r="E569" s="58"/>
      <c r="F569" s="57"/>
      <c r="G569" s="59"/>
      <c r="H569" s="59"/>
      <c r="I569" s="59"/>
      <c r="J569" s="59"/>
      <c r="K569" s="59"/>
      <c r="L569" s="59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</row>
    <row r="570">
      <c r="A570" s="57"/>
      <c r="B570" s="57"/>
      <c r="C570" s="57"/>
      <c r="D570" s="57"/>
      <c r="E570" s="58"/>
      <c r="F570" s="57"/>
      <c r="G570" s="59"/>
      <c r="H570" s="59"/>
      <c r="I570" s="59"/>
      <c r="J570" s="59"/>
      <c r="K570" s="59"/>
      <c r="L570" s="59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</row>
    <row r="571">
      <c r="A571" s="57"/>
      <c r="B571" s="57"/>
      <c r="C571" s="57"/>
      <c r="D571" s="57"/>
      <c r="E571" s="58"/>
      <c r="F571" s="57"/>
      <c r="G571" s="59"/>
      <c r="H571" s="59"/>
      <c r="I571" s="59"/>
      <c r="J571" s="59"/>
      <c r="K571" s="59"/>
      <c r="L571" s="59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</row>
    <row r="572">
      <c r="A572" s="57"/>
      <c r="B572" s="57"/>
      <c r="C572" s="57"/>
      <c r="D572" s="57"/>
      <c r="E572" s="58"/>
      <c r="F572" s="57"/>
      <c r="G572" s="59"/>
      <c r="H572" s="59"/>
      <c r="I572" s="59"/>
      <c r="J572" s="59"/>
      <c r="K572" s="59"/>
      <c r="L572" s="59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</row>
    <row r="573">
      <c r="A573" s="57"/>
      <c r="B573" s="57"/>
      <c r="C573" s="57"/>
      <c r="D573" s="57"/>
      <c r="E573" s="58"/>
      <c r="F573" s="57"/>
      <c r="G573" s="59"/>
      <c r="H573" s="59"/>
      <c r="I573" s="59"/>
      <c r="J573" s="59"/>
      <c r="K573" s="59"/>
      <c r="L573" s="59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</row>
    <row r="574">
      <c r="A574" s="57"/>
      <c r="B574" s="57"/>
      <c r="C574" s="57"/>
      <c r="D574" s="57"/>
      <c r="E574" s="58"/>
      <c r="F574" s="57"/>
      <c r="G574" s="59"/>
      <c r="H574" s="59"/>
      <c r="I574" s="59"/>
      <c r="J574" s="59"/>
      <c r="K574" s="59"/>
      <c r="L574" s="59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</row>
    <row r="575">
      <c r="A575" s="57"/>
      <c r="B575" s="57"/>
      <c r="C575" s="57"/>
      <c r="D575" s="57"/>
      <c r="E575" s="58"/>
      <c r="F575" s="57"/>
      <c r="G575" s="59"/>
      <c r="H575" s="59"/>
      <c r="I575" s="59"/>
      <c r="J575" s="59"/>
      <c r="K575" s="59"/>
      <c r="L575" s="59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</row>
    <row r="576">
      <c r="A576" s="57"/>
      <c r="B576" s="57"/>
      <c r="C576" s="57"/>
      <c r="D576" s="57"/>
      <c r="E576" s="58"/>
      <c r="F576" s="57"/>
      <c r="G576" s="59"/>
      <c r="H576" s="59"/>
      <c r="I576" s="59"/>
      <c r="J576" s="59"/>
      <c r="K576" s="59"/>
      <c r="L576" s="59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</row>
    <row r="577">
      <c r="A577" s="57"/>
      <c r="B577" s="57"/>
      <c r="C577" s="57"/>
      <c r="D577" s="57"/>
      <c r="E577" s="58"/>
      <c r="F577" s="57"/>
      <c r="G577" s="59"/>
      <c r="H577" s="59"/>
      <c r="I577" s="59"/>
      <c r="J577" s="59"/>
      <c r="K577" s="59"/>
      <c r="L577" s="59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</row>
    <row r="578">
      <c r="A578" s="57"/>
      <c r="B578" s="57"/>
      <c r="C578" s="57"/>
      <c r="D578" s="57"/>
      <c r="E578" s="58"/>
      <c r="F578" s="57"/>
      <c r="G578" s="59"/>
      <c r="H578" s="59"/>
      <c r="I578" s="59"/>
      <c r="J578" s="59"/>
      <c r="K578" s="59"/>
      <c r="L578" s="59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</row>
    <row r="579">
      <c r="A579" s="57"/>
      <c r="B579" s="57"/>
      <c r="C579" s="57"/>
      <c r="D579" s="57"/>
      <c r="E579" s="58"/>
      <c r="F579" s="57"/>
      <c r="G579" s="59"/>
      <c r="H579" s="59"/>
      <c r="I579" s="59"/>
      <c r="J579" s="59"/>
      <c r="K579" s="59"/>
      <c r="L579" s="59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</row>
    <row r="580">
      <c r="A580" s="57"/>
      <c r="B580" s="57"/>
      <c r="C580" s="57"/>
      <c r="D580" s="57"/>
      <c r="E580" s="58"/>
      <c r="F580" s="57"/>
      <c r="G580" s="59"/>
      <c r="H580" s="59"/>
      <c r="I580" s="59"/>
      <c r="J580" s="59"/>
      <c r="K580" s="59"/>
      <c r="L580" s="59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</row>
    <row r="581">
      <c r="A581" s="57"/>
      <c r="B581" s="57"/>
      <c r="C581" s="57"/>
      <c r="D581" s="57"/>
      <c r="E581" s="58"/>
      <c r="F581" s="57"/>
      <c r="G581" s="59"/>
      <c r="H581" s="59"/>
      <c r="I581" s="59"/>
      <c r="J581" s="59"/>
      <c r="K581" s="59"/>
      <c r="L581" s="59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</row>
    <row r="582">
      <c r="A582" s="57"/>
      <c r="B582" s="57"/>
      <c r="C582" s="57"/>
      <c r="D582" s="57"/>
      <c r="E582" s="58"/>
      <c r="F582" s="57"/>
      <c r="G582" s="59"/>
      <c r="H582" s="59"/>
      <c r="I582" s="59"/>
      <c r="J582" s="59"/>
      <c r="K582" s="59"/>
      <c r="L582" s="59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</row>
    <row r="583">
      <c r="A583" s="57"/>
      <c r="B583" s="57"/>
      <c r="C583" s="57"/>
      <c r="D583" s="57"/>
      <c r="E583" s="58"/>
      <c r="F583" s="57"/>
      <c r="G583" s="59"/>
      <c r="H583" s="59"/>
      <c r="I583" s="59"/>
      <c r="J583" s="59"/>
      <c r="K583" s="59"/>
      <c r="L583" s="59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</row>
    <row r="584">
      <c r="A584" s="57"/>
      <c r="B584" s="57"/>
      <c r="C584" s="57"/>
      <c r="D584" s="57"/>
      <c r="E584" s="58"/>
      <c r="F584" s="57"/>
      <c r="G584" s="59"/>
      <c r="H584" s="59"/>
      <c r="I584" s="59"/>
      <c r="J584" s="59"/>
      <c r="K584" s="59"/>
      <c r="L584" s="59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</row>
    <row r="585">
      <c r="A585" s="57"/>
      <c r="B585" s="57"/>
      <c r="C585" s="57"/>
      <c r="D585" s="57"/>
      <c r="E585" s="58"/>
      <c r="F585" s="57"/>
      <c r="G585" s="59"/>
      <c r="H585" s="59"/>
      <c r="I585" s="59"/>
      <c r="J585" s="59"/>
      <c r="K585" s="59"/>
      <c r="L585" s="59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</row>
    <row r="586">
      <c r="A586" s="57"/>
      <c r="B586" s="57"/>
      <c r="C586" s="57"/>
      <c r="D586" s="57"/>
      <c r="E586" s="58"/>
      <c r="F586" s="57"/>
      <c r="G586" s="59"/>
      <c r="H586" s="59"/>
      <c r="I586" s="59"/>
      <c r="J586" s="59"/>
      <c r="K586" s="59"/>
      <c r="L586" s="59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</row>
    <row r="587">
      <c r="A587" s="57"/>
      <c r="B587" s="57"/>
      <c r="C587" s="57"/>
      <c r="D587" s="57"/>
      <c r="E587" s="58"/>
      <c r="F587" s="57"/>
      <c r="G587" s="59"/>
      <c r="H587" s="59"/>
      <c r="I587" s="59"/>
      <c r="J587" s="59"/>
      <c r="K587" s="59"/>
      <c r="L587" s="59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</row>
    <row r="588">
      <c r="A588" s="57"/>
      <c r="B588" s="57"/>
      <c r="C588" s="57"/>
      <c r="D588" s="57"/>
      <c r="E588" s="58"/>
      <c r="F588" s="57"/>
      <c r="G588" s="59"/>
      <c r="H588" s="59"/>
      <c r="I588" s="59"/>
      <c r="J588" s="59"/>
      <c r="K588" s="59"/>
      <c r="L588" s="59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</row>
    <row r="589">
      <c r="A589" s="57"/>
      <c r="B589" s="57"/>
      <c r="C589" s="57"/>
      <c r="D589" s="57"/>
      <c r="E589" s="58"/>
      <c r="F589" s="57"/>
      <c r="G589" s="59"/>
      <c r="H589" s="59"/>
      <c r="I589" s="59"/>
      <c r="J589" s="59"/>
      <c r="K589" s="59"/>
      <c r="L589" s="59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</row>
    <row r="590">
      <c r="A590" s="57"/>
      <c r="B590" s="57"/>
      <c r="C590" s="57"/>
      <c r="D590" s="57"/>
      <c r="E590" s="58"/>
      <c r="F590" s="57"/>
      <c r="G590" s="59"/>
      <c r="H590" s="59"/>
      <c r="I590" s="59"/>
      <c r="J590" s="59"/>
      <c r="K590" s="59"/>
      <c r="L590" s="59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</row>
    <row r="591">
      <c r="A591" s="57"/>
      <c r="B591" s="57"/>
      <c r="C591" s="57"/>
      <c r="D591" s="57"/>
      <c r="E591" s="58"/>
      <c r="F591" s="57"/>
      <c r="G591" s="59"/>
      <c r="H591" s="59"/>
      <c r="I591" s="59"/>
      <c r="J591" s="59"/>
      <c r="K591" s="59"/>
      <c r="L591" s="59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</row>
    <row r="592">
      <c r="A592" s="57"/>
      <c r="B592" s="57"/>
      <c r="C592" s="57"/>
      <c r="D592" s="57"/>
      <c r="E592" s="58"/>
      <c r="F592" s="57"/>
      <c r="G592" s="59"/>
      <c r="H592" s="59"/>
      <c r="I592" s="59"/>
      <c r="J592" s="59"/>
      <c r="K592" s="59"/>
      <c r="L592" s="59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</row>
    <row r="593">
      <c r="A593" s="57"/>
      <c r="B593" s="57"/>
      <c r="C593" s="57"/>
      <c r="D593" s="57"/>
      <c r="E593" s="58"/>
      <c r="F593" s="57"/>
      <c r="G593" s="59"/>
      <c r="H593" s="59"/>
      <c r="I593" s="59"/>
      <c r="J593" s="59"/>
      <c r="K593" s="59"/>
      <c r="L593" s="59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</row>
    <row r="594">
      <c r="A594" s="57"/>
      <c r="B594" s="57"/>
      <c r="C594" s="57"/>
      <c r="D594" s="57"/>
      <c r="E594" s="58"/>
      <c r="F594" s="57"/>
      <c r="G594" s="59"/>
      <c r="H594" s="59"/>
      <c r="I594" s="59"/>
      <c r="J594" s="59"/>
      <c r="K594" s="59"/>
      <c r="L594" s="59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</row>
    <row r="595">
      <c r="A595" s="57"/>
      <c r="B595" s="57"/>
      <c r="C595" s="57"/>
      <c r="D595" s="57"/>
      <c r="E595" s="58"/>
      <c r="F595" s="57"/>
      <c r="G595" s="59"/>
      <c r="H595" s="59"/>
      <c r="I595" s="59"/>
      <c r="J595" s="59"/>
      <c r="K595" s="59"/>
      <c r="L595" s="59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</row>
    <row r="596">
      <c r="A596" s="57"/>
      <c r="B596" s="57"/>
      <c r="C596" s="57"/>
      <c r="D596" s="57"/>
      <c r="E596" s="58"/>
      <c r="F596" s="57"/>
      <c r="G596" s="59"/>
      <c r="H596" s="59"/>
      <c r="I596" s="59"/>
      <c r="J596" s="59"/>
      <c r="K596" s="59"/>
      <c r="L596" s="59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</row>
    <row r="597">
      <c r="A597" s="57"/>
      <c r="B597" s="57"/>
      <c r="C597" s="57"/>
      <c r="D597" s="57"/>
      <c r="E597" s="58"/>
      <c r="F597" s="57"/>
      <c r="G597" s="59"/>
      <c r="H597" s="59"/>
      <c r="I597" s="59"/>
      <c r="J597" s="59"/>
      <c r="K597" s="59"/>
      <c r="L597" s="59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</row>
    <row r="598">
      <c r="A598" s="57"/>
      <c r="B598" s="57"/>
      <c r="C598" s="57"/>
      <c r="D598" s="57"/>
      <c r="E598" s="58"/>
      <c r="F598" s="57"/>
      <c r="G598" s="59"/>
      <c r="H598" s="59"/>
      <c r="I598" s="59"/>
      <c r="J598" s="59"/>
      <c r="K598" s="59"/>
      <c r="L598" s="59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</row>
    <row r="599">
      <c r="A599" s="57"/>
      <c r="B599" s="57"/>
      <c r="C599" s="57"/>
      <c r="D599" s="57"/>
      <c r="E599" s="58"/>
      <c r="F599" s="57"/>
      <c r="G599" s="59"/>
      <c r="H599" s="59"/>
      <c r="I599" s="59"/>
      <c r="J599" s="59"/>
      <c r="K599" s="59"/>
      <c r="L599" s="59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</row>
    <row r="600">
      <c r="A600" s="57"/>
      <c r="B600" s="57"/>
      <c r="C600" s="57"/>
      <c r="D600" s="57"/>
      <c r="E600" s="58"/>
      <c r="F600" s="57"/>
      <c r="G600" s="59"/>
      <c r="H600" s="59"/>
      <c r="I600" s="59"/>
      <c r="J600" s="59"/>
      <c r="K600" s="59"/>
      <c r="L600" s="59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</row>
    <row r="601">
      <c r="A601" s="57"/>
      <c r="B601" s="57"/>
      <c r="C601" s="57"/>
      <c r="D601" s="57"/>
      <c r="E601" s="58"/>
      <c r="F601" s="57"/>
      <c r="G601" s="59"/>
      <c r="H601" s="59"/>
      <c r="I601" s="59"/>
      <c r="J601" s="59"/>
      <c r="K601" s="59"/>
      <c r="L601" s="59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</row>
    <row r="602">
      <c r="A602" s="57"/>
      <c r="B602" s="57"/>
      <c r="C602" s="57"/>
      <c r="D602" s="57"/>
      <c r="E602" s="58"/>
      <c r="F602" s="57"/>
      <c r="G602" s="59"/>
      <c r="H602" s="59"/>
      <c r="I602" s="59"/>
      <c r="J602" s="59"/>
      <c r="K602" s="59"/>
      <c r="L602" s="59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</row>
    <row r="603">
      <c r="A603" s="57"/>
      <c r="B603" s="57"/>
      <c r="C603" s="57"/>
      <c r="D603" s="57"/>
      <c r="E603" s="58"/>
      <c r="F603" s="57"/>
      <c r="G603" s="59"/>
      <c r="H603" s="59"/>
      <c r="I603" s="59"/>
      <c r="J603" s="59"/>
      <c r="K603" s="59"/>
      <c r="L603" s="59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</row>
    <row r="604">
      <c r="A604" s="57"/>
      <c r="B604" s="57"/>
      <c r="C604" s="57"/>
      <c r="D604" s="57"/>
      <c r="E604" s="58"/>
      <c r="F604" s="57"/>
      <c r="G604" s="59"/>
      <c r="H604" s="59"/>
      <c r="I604" s="59"/>
      <c r="J604" s="59"/>
      <c r="K604" s="59"/>
      <c r="L604" s="59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</row>
    <row r="605">
      <c r="A605" s="57"/>
      <c r="B605" s="57"/>
      <c r="C605" s="57"/>
      <c r="D605" s="57"/>
      <c r="E605" s="58"/>
      <c r="F605" s="57"/>
      <c r="G605" s="59"/>
      <c r="H605" s="59"/>
      <c r="I605" s="59"/>
      <c r="J605" s="59"/>
      <c r="K605" s="59"/>
      <c r="L605" s="59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</row>
    <row r="606">
      <c r="A606" s="57"/>
      <c r="B606" s="57"/>
      <c r="C606" s="57"/>
      <c r="D606" s="57"/>
      <c r="E606" s="58"/>
      <c r="F606" s="57"/>
      <c r="G606" s="59"/>
      <c r="H606" s="59"/>
      <c r="I606" s="59"/>
      <c r="J606" s="59"/>
      <c r="K606" s="59"/>
      <c r="L606" s="59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</row>
    <row r="607">
      <c r="A607" s="57"/>
      <c r="B607" s="57"/>
      <c r="C607" s="57"/>
      <c r="D607" s="57"/>
      <c r="E607" s="58"/>
      <c r="F607" s="57"/>
      <c r="G607" s="59"/>
      <c r="H607" s="59"/>
      <c r="I607" s="59"/>
      <c r="J607" s="59"/>
      <c r="K607" s="59"/>
      <c r="L607" s="59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</row>
    <row r="608">
      <c r="A608" s="57"/>
      <c r="B608" s="57"/>
      <c r="C608" s="57"/>
      <c r="D608" s="57"/>
      <c r="E608" s="58"/>
      <c r="F608" s="57"/>
      <c r="G608" s="59"/>
      <c r="H608" s="59"/>
      <c r="I608" s="59"/>
      <c r="J608" s="59"/>
      <c r="K608" s="59"/>
      <c r="L608" s="59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</row>
    <row r="609">
      <c r="A609" s="57"/>
      <c r="B609" s="57"/>
      <c r="C609" s="57"/>
      <c r="D609" s="57"/>
      <c r="E609" s="58"/>
      <c r="F609" s="57"/>
      <c r="G609" s="59"/>
      <c r="H609" s="59"/>
      <c r="I609" s="59"/>
      <c r="J609" s="59"/>
      <c r="K609" s="59"/>
      <c r="L609" s="59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</row>
    <row r="610">
      <c r="A610" s="57"/>
      <c r="B610" s="57"/>
      <c r="C610" s="57"/>
      <c r="D610" s="57"/>
      <c r="E610" s="58"/>
      <c r="F610" s="57"/>
      <c r="G610" s="59"/>
      <c r="H610" s="59"/>
      <c r="I610" s="59"/>
      <c r="J610" s="59"/>
      <c r="K610" s="59"/>
      <c r="L610" s="59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</row>
    <row r="611">
      <c r="A611" s="57"/>
      <c r="B611" s="57"/>
      <c r="C611" s="57"/>
      <c r="D611" s="57"/>
      <c r="E611" s="58"/>
      <c r="F611" s="57"/>
      <c r="G611" s="59"/>
      <c r="H611" s="59"/>
      <c r="I611" s="59"/>
      <c r="J611" s="59"/>
      <c r="K611" s="59"/>
      <c r="L611" s="59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</row>
    <row r="612">
      <c r="A612" s="57"/>
      <c r="B612" s="57"/>
      <c r="C612" s="57"/>
      <c r="D612" s="57"/>
      <c r="E612" s="58"/>
      <c r="F612" s="57"/>
      <c r="G612" s="59"/>
      <c r="H612" s="59"/>
      <c r="I612" s="59"/>
      <c r="J612" s="59"/>
      <c r="K612" s="59"/>
      <c r="L612" s="59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</row>
    <row r="613">
      <c r="A613" s="57"/>
      <c r="B613" s="57"/>
      <c r="C613" s="57"/>
      <c r="D613" s="57"/>
      <c r="E613" s="58"/>
      <c r="F613" s="57"/>
      <c r="G613" s="59"/>
      <c r="H613" s="59"/>
      <c r="I613" s="59"/>
      <c r="J613" s="59"/>
      <c r="K613" s="59"/>
      <c r="L613" s="59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</row>
    <row r="614">
      <c r="A614" s="57"/>
      <c r="B614" s="57"/>
      <c r="C614" s="57"/>
      <c r="D614" s="57"/>
      <c r="E614" s="58"/>
      <c r="F614" s="57"/>
      <c r="G614" s="59"/>
      <c r="H614" s="59"/>
      <c r="I614" s="59"/>
      <c r="J614" s="59"/>
      <c r="K614" s="59"/>
      <c r="L614" s="59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</row>
    <row r="615">
      <c r="A615" s="57"/>
      <c r="B615" s="57"/>
      <c r="C615" s="57"/>
      <c r="D615" s="57"/>
      <c r="E615" s="58"/>
      <c r="F615" s="57"/>
      <c r="G615" s="59"/>
      <c r="H615" s="59"/>
      <c r="I615" s="59"/>
      <c r="J615" s="59"/>
      <c r="K615" s="59"/>
      <c r="L615" s="59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</row>
    <row r="616">
      <c r="A616" s="57"/>
      <c r="B616" s="57"/>
      <c r="C616" s="57"/>
      <c r="D616" s="57"/>
      <c r="E616" s="58"/>
      <c r="F616" s="57"/>
      <c r="G616" s="59"/>
      <c r="H616" s="59"/>
      <c r="I616" s="59"/>
      <c r="J616" s="59"/>
      <c r="K616" s="59"/>
      <c r="L616" s="59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</row>
    <row r="617">
      <c r="A617" s="57"/>
      <c r="B617" s="57"/>
      <c r="C617" s="57"/>
      <c r="D617" s="57"/>
      <c r="E617" s="58"/>
      <c r="F617" s="57"/>
      <c r="G617" s="59"/>
      <c r="H617" s="59"/>
      <c r="I617" s="59"/>
      <c r="J617" s="59"/>
      <c r="K617" s="59"/>
      <c r="L617" s="59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</row>
    <row r="618">
      <c r="A618" s="57"/>
      <c r="B618" s="57"/>
      <c r="C618" s="57"/>
      <c r="D618" s="57"/>
      <c r="E618" s="58"/>
      <c r="F618" s="57"/>
      <c r="G618" s="59"/>
      <c r="H618" s="59"/>
      <c r="I618" s="59"/>
      <c r="J618" s="59"/>
      <c r="K618" s="59"/>
      <c r="L618" s="59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</row>
    <row r="619">
      <c r="A619" s="57"/>
      <c r="B619" s="57"/>
      <c r="C619" s="57"/>
      <c r="D619" s="57"/>
      <c r="E619" s="58"/>
      <c r="F619" s="57"/>
      <c r="G619" s="59"/>
      <c r="H619" s="59"/>
      <c r="I619" s="59"/>
      <c r="J619" s="59"/>
      <c r="K619" s="59"/>
      <c r="L619" s="59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</row>
    <row r="620">
      <c r="A620" s="57"/>
      <c r="B620" s="57"/>
      <c r="C620" s="57"/>
      <c r="D620" s="57"/>
      <c r="E620" s="58"/>
      <c r="F620" s="57"/>
      <c r="G620" s="59"/>
      <c r="H620" s="59"/>
      <c r="I620" s="59"/>
      <c r="J620" s="59"/>
      <c r="K620" s="59"/>
      <c r="L620" s="59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</row>
    <row r="621">
      <c r="A621" s="57"/>
      <c r="B621" s="57"/>
      <c r="C621" s="57"/>
      <c r="D621" s="57"/>
      <c r="E621" s="58"/>
      <c r="F621" s="57"/>
      <c r="G621" s="59"/>
      <c r="H621" s="59"/>
      <c r="I621" s="59"/>
      <c r="J621" s="59"/>
      <c r="K621" s="59"/>
      <c r="L621" s="59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</row>
    <row r="622">
      <c r="A622" s="57"/>
      <c r="B622" s="57"/>
      <c r="C622" s="57"/>
      <c r="D622" s="57"/>
      <c r="E622" s="58"/>
      <c r="F622" s="57"/>
      <c r="G622" s="59"/>
      <c r="H622" s="59"/>
      <c r="I622" s="59"/>
      <c r="J622" s="59"/>
      <c r="K622" s="59"/>
      <c r="L622" s="59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</row>
    <row r="623">
      <c r="A623" s="57"/>
      <c r="B623" s="57"/>
      <c r="C623" s="57"/>
      <c r="D623" s="57"/>
      <c r="E623" s="58"/>
      <c r="F623" s="57"/>
      <c r="G623" s="59"/>
      <c r="H623" s="59"/>
      <c r="I623" s="59"/>
      <c r="J623" s="59"/>
      <c r="K623" s="59"/>
      <c r="L623" s="59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</row>
    <row r="624">
      <c r="A624" s="57"/>
      <c r="B624" s="57"/>
      <c r="C624" s="57"/>
      <c r="D624" s="57"/>
      <c r="E624" s="58"/>
      <c r="F624" s="57"/>
      <c r="G624" s="59"/>
      <c r="H624" s="59"/>
      <c r="I624" s="59"/>
      <c r="J624" s="59"/>
      <c r="K624" s="59"/>
      <c r="L624" s="59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</row>
    <row r="625">
      <c r="A625" s="57"/>
      <c r="B625" s="57"/>
      <c r="C625" s="57"/>
      <c r="D625" s="57"/>
      <c r="E625" s="58"/>
      <c r="F625" s="57"/>
      <c r="G625" s="59"/>
      <c r="H625" s="59"/>
      <c r="I625" s="59"/>
      <c r="J625" s="59"/>
      <c r="K625" s="59"/>
      <c r="L625" s="59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</row>
    <row r="626">
      <c r="A626" s="57"/>
      <c r="B626" s="57"/>
      <c r="C626" s="57"/>
      <c r="D626" s="57"/>
      <c r="E626" s="58"/>
      <c r="F626" s="57"/>
      <c r="G626" s="59"/>
      <c r="H626" s="59"/>
      <c r="I626" s="59"/>
      <c r="J626" s="59"/>
      <c r="K626" s="59"/>
      <c r="L626" s="59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</row>
    <row r="627">
      <c r="A627" s="57"/>
      <c r="B627" s="57"/>
      <c r="C627" s="57"/>
      <c r="D627" s="57"/>
      <c r="E627" s="58"/>
      <c r="F627" s="57"/>
      <c r="G627" s="59"/>
      <c r="H627" s="59"/>
      <c r="I627" s="59"/>
      <c r="J627" s="59"/>
      <c r="K627" s="59"/>
      <c r="L627" s="59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</row>
    <row r="628">
      <c r="A628" s="57"/>
      <c r="B628" s="57"/>
      <c r="C628" s="57"/>
      <c r="D628" s="57"/>
      <c r="E628" s="58"/>
      <c r="F628" s="57"/>
      <c r="G628" s="59"/>
      <c r="H628" s="59"/>
      <c r="I628" s="59"/>
      <c r="J628" s="59"/>
      <c r="K628" s="59"/>
      <c r="L628" s="59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</row>
    <row r="629">
      <c r="A629" s="57"/>
      <c r="B629" s="57"/>
      <c r="C629" s="57"/>
      <c r="D629" s="57"/>
      <c r="E629" s="58"/>
      <c r="F629" s="57"/>
      <c r="G629" s="59"/>
      <c r="H629" s="59"/>
      <c r="I629" s="59"/>
      <c r="J629" s="59"/>
      <c r="K629" s="59"/>
      <c r="L629" s="59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</row>
    <row r="630">
      <c r="A630" s="57"/>
      <c r="B630" s="57"/>
      <c r="C630" s="57"/>
      <c r="D630" s="57"/>
      <c r="E630" s="58"/>
      <c r="F630" s="57"/>
      <c r="G630" s="59"/>
      <c r="H630" s="59"/>
      <c r="I630" s="59"/>
      <c r="J630" s="59"/>
      <c r="K630" s="59"/>
      <c r="L630" s="59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</row>
    <row r="631">
      <c r="A631" s="57"/>
      <c r="B631" s="57"/>
      <c r="C631" s="57"/>
      <c r="D631" s="57"/>
      <c r="E631" s="58"/>
      <c r="F631" s="57"/>
      <c r="G631" s="59"/>
      <c r="H631" s="59"/>
      <c r="I631" s="59"/>
      <c r="J631" s="59"/>
      <c r="K631" s="59"/>
      <c r="L631" s="59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</row>
    <row r="632">
      <c r="A632" s="57"/>
      <c r="B632" s="57"/>
      <c r="C632" s="57"/>
      <c r="D632" s="57"/>
      <c r="E632" s="58"/>
      <c r="F632" s="57"/>
      <c r="G632" s="59"/>
      <c r="H632" s="59"/>
      <c r="I632" s="59"/>
      <c r="J632" s="59"/>
      <c r="K632" s="59"/>
      <c r="L632" s="59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</row>
    <row r="633">
      <c r="A633" s="57"/>
      <c r="B633" s="57"/>
      <c r="C633" s="57"/>
      <c r="D633" s="57"/>
      <c r="E633" s="58"/>
      <c r="F633" s="57"/>
      <c r="G633" s="59"/>
      <c r="H633" s="59"/>
      <c r="I633" s="59"/>
      <c r="J633" s="59"/>
      <c r="K633" s="59"/>
      <c r="L633" s="59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</row>
    <row r="634">
      <c r="A634" s="57"/>
      <c r="B634" s="57"/>
      <c r="C634" s="57"/>
      <c r="D634" s="57"/>
      <c r="E634" s="58"/>
      <c r="F634" s="57"/>
      <c r="G634" s="59"/>
      <c r="H634" s="59"/>
      <c r="I634" s="59"/>
      <c r="J634" s="59"/>
      <c r="K634" s="59"/>
      <c r="L634" s="59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</row>
    <row r="635">
      <c r="A635" s="57"/>
      <c r="B635" s="57"/>
      <c r="C635" s="57"/>
      <c r="D635" s="57"/>
      <c r="E635" s="58"/>
      <c r="F635" s="57"/>
      <c r="G635" s="59"/>
      <c r="H635" s="59"/>
      <c r="I635" s="59"/>
      <c r="J635" s="59"/>
      <c r="K635" s="59"/>
      <c r="L635" s="59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</row>
    <row r="636">
      <c r="A636" s="57"/>
      <c r="B636" s="57"/>
      <c r="C636" s="57"/>
      <c r="D636" s="57"/>
      <c r="E636" s="58"/>
      <c r="F636" s="57"/>
      <c r="G636" s="59"/>
      <c r="H636" s="59"/>
      <c r="I636" s="59"/>
      <c r="J636" s="59"/>
      <c r="K636" s="59"/>
      <c r="L636" s="59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</row>
    <row r="637">
      <c r="A637" s="57"/>
      <c r="B637" s="57"/>
      <c r="C637" s="57"/>
      <c r="D637" s="57"/>
      <c r="E637" s="58"/>
      <c r="F637" s="57"/>
      <c r="G637" s="59"/>
      <c r="H637" s="59"/>
      <c r="I637" s="59"/>
      <c r="J637" s="59"/>
      <c r="K637" s="59"/>
      <c r="L637" s="59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</row>
    <row r="638">
      <c r="A638" s="57"/>
      <c r="B638" s="57"/>
      <c r="C638" s="57"/>
      <c r="D638" s="57"/>
      <c r="E638" s="58"/>
      <c r="F638" s="57"/>
      <c r="G638" s="59"/>
      <c r="H638" s="59"/>
      <c r="I638" s="59"/>
      <c r="J638" s="59"/>
      <c r="K638" s="59"/>
      <c r="L638" s="59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</row>
    <row r="639">
      <c r="A639" s="57"/>
      <c r="B639" s="57"/>
      <c r="C639" s="57"/>
      <c r="D639" s="57"/>
      <c r="E639" s="58"/>
      <c r="F639" s="57"/>
      <c r="G639" s="59"/>
      <c r="H639" s="59"/>
      <c r="I639" s="59"/>
      <c r="J639" s="59"/>
      <c r="K639" s="59"/>
      <c r="L639" s="59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</row>
    <row r="640">
      <c r="A640" s="57"/>
      <c r="B640" s="57"/>
      <c r="C640" s="57"/>
      <c r="D640" s="57"/>
      <c r="E640" s="58"/>
      <c r="F640" s="57"/>
      <c r="G640" s="59"/>
      <c r="H640" s="59"/>
      <c r="I640" s="59"/>
      <c r="J640" s="59"/>
      <c r="K640" s="59"/>
      <c r="L640" s="59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</row>
    <row r="641">
      <c r="A641" s="57"/>
      <c r="B641" s="57"/>
      <c r="C641" s="57"/>
      <c r="D641" s="57"/>
      <c r="E641" s="58"/>
      <c r="F641" s="57"/>
      <c r="G641" s="59"/>
      <c r="H641" s="59"/>
      <c r="I641" s="59"/>
      <c r="J641" s="59"/>
      <c r="K641" s="59"/>
      <c r="L641" s="59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</row>
    <row r="642">
      <c r="A642" s="57"/>
      <c r="B642" s="57"/>
      <c r="C642" s="57"/>
      <c r="D642" s="57"/>
      <c r="E642" s="58"/>
      <c r="F642" s="57"/>
      <c r="G642" s="59"/>
      <c r="H642" s="59"/>
      <c r="I642" s="59"/>
      <c r="J642" s="59"/>
      <c r="K642" s="59"/>
      <c r="L642" s="59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</row>
    <row r="643">
      <c r="A643" s="57"/>
      <c r="B643" s="57"/>
      <c r="C643" s="57"/>
      <c r="D643" s="57"/>
      <c r="E643" s="58"/>
      <c r="F643" s="57"/>
      <c r="G643" s="59"/>
      <c r="H643" s="59"/>
      <c r="I643" s="59"/>
      <c r="J643" s="59"/>
      <c r="K643" s="59"/>
      <c r="L643" s="59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</row>
    <row r="644">
      <c r="A644" s="57"/>
      <c r="B644" s="57"/>
      <c r="C644" s="57"/>
      <c r="D644" s="57"/>
      <c r="E644" s="58"/>
      <c r="F644" s="57"/>
      <c r="G644" s="59"/>
      <c r="H644" s="59"/>
      <c r="I644" s="59"/>
      <c r="J644" s="59"/>
      <c r="K644" s="59"/>
      <c r="L644" s="59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</row>
    <row r="645">
      <c r="A645" s="57"/>
      <c r="B645" s="57"/>
      <c r="C645" s="57"/>
      <c r="D645" s="57"/>
      <c r="E645" s="58"/>
      <c r="F645" s="57"/>
      <c r="G645" s="59"/>
      <c r="H645" s="59"/>
      <c r="I645" s="59"/>
      <c r="J645" s="59"/>
      <c r="K645" s="59"/>
      <c r="L645" s="59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</row>
    <row r="646">
      <c r="A646" s="57"/>
      <c r="B646" s="57"/>
      <c r="C646" s="57"/>
      <c r="D646" s="57"/>
      <c r="E646" s="58"/>
      <c r="F646" s="57"/>
      <c r="G646" s="59"/>
      <c r="H646" s="59"/>
      <c r="I646" s="59"/>
      <c r="J646" s="59"/>
      <c r="K646" s="59"/>
      <c r="L646" s="59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</row>
    <row r="647">
      <c r="A647" s="57"/>
      <c r="B647" s="57"/>
      <c r="C647" s="57"/>
      <c r="D647" s="57"/>
      <c r="E647" s="58"/>
      <c r="F647" s="57"/>
      <c r="G647" s="59"/>
      <c r="H647" s="59"/>
      <c r="I647" s="59"/>
      <c r="J647" s="59"/>
      <c r="K647" s="59"/>
      <c r="L647" s="59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</row>
    <row r="648">
      <c r="A648" s="57"/>
      <c r="B648" s="57"/>
      <c r="C648" s="57"/>
      <c r="D648" s="57"/>
      <c r="E648" s="58"/>
      <c r="F648" s="57"/>
      <c r="G648" s="59"/>
      <c r="H648" s="59"/>
      <c r="I648" s="59"/>
      <c r="J648" s="59"/>
      <c r="K648" s="59"/>
      <c r="L648" s="59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</row>
    <row r="649">
      <c r="A649" s="57"/>
      <c r="B649" s="57"/>
      <c r="C649" s="57"/>
      <c r="D649" s="57"/>
      <c r="E649" s="58"/>
      <c r="F649" s="57"/>
      <c r="G649" s="59"/>
      <c r="H649" s="59"/>
      <c r="I649" s="59"/>
      <c r="J649" s="59"/>
      <c r="K649" s="59"/>
      <c r="L649" s="59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</row>
    <row r="650">
      <c r="A650" s="57"/>
      <c r="B650" s="57"/>
      <c r="C650" s="57"/>
      <c r="D650" s="57"/>
      <c r="E650" s="58"/>
      <c r="F650" s="57"/>
      <c r="G650" s="59"/>
      <c r="H650" s="59"/>
      <c r="I650" s="59"/>
      <c r="J650" s="59"/>
      <c r="K650" s="59"/>
      <c r="L650" s="59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</row>
    <row r="651">
      <c r="A651" s="57"/>
      <c r="B651" s="57"/>
      <c r="C651" s="57"/>
      <c r="D651" s="57"/>
      <c r="E651" s="58"/>
      <c r="F651" s="57"/>
      <c r="G651" s="59"/>
      <c r="H651" s="59"/>
      <c r="I651" s="59"/>
      <c r="J651" s="59"/>
      <c r="K651" s="59"/>
      <c r="L651" s="59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</row>
    <row r="652">
      <c r="A652" s="57"/>
      <c r="B652" s="57"/>
      <c r="C652" s="57"/>
      <c r="D652" s="57"/>
      <c r="E652" s="58"/>
      <c r="F652" s="57"/>
      <c r="G652" s="59"/>
      <c r="H652" s="59"/>
      <c r="I652" s="59"/>
      <c r="J652" s="59"/>
      <c r="K652" s="59"/>
      <c r="L652" s="59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</row>
    <row r="653">
      <c r="A653" s="57"/>
      <c r="B653" s="57"/>
      <c r="C653" s="57"/>
      <c r="D653" s="57"/>
      <c r="E653" s="58"/>
      <c r="F653" s="57"/>
      <c r="G653" s="59"/>
      <c r="H653" s="59"/>
      <c r="I653" s="59"/>
      <c r="J653" s="59"/>
      <c r="K653" s="59"/>
      <c r="L653" s="59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</row>
    <row r="654">
      <c r="A654" s="57"/>
      <c r="B654" s="57"/>
      <c r="C654" s="57"/>
      <c r="D654" s="57"/>
      <c r="E654" s="58"/>
      <c r="F654" s="57"/>
      <c r="G654" s="59"/>
      <c r="H654" s="59"/>
      <c r="I654" s="59"/>
      <c r="J654" s="59"/>
      <c r="K654" s="59"/>
      <c r="L654" s="59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</row>
    <row r="655">
      <c r="A655" s="57"/>
      <c r="B655" s="57"/>
      <c r="C655" s="57"/>
      <c r="D655" s="57"/>
      <c r="E655" s="58"/>
      <c r="F655" s="57"/>
      <c r="G655" s="59"/>
      <c r="H655" s="59"/>
      <c r="I655" s="59"/>
      <c r="J655" s="59"/>
      <c r="K655" s="59"/>
      <c r="L655" s="59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</row>
    <row r="656">
      <c r="A656" s="57"/>
      <c r="B656" s="57"/>
      <c r="C656" s="57"/>
      <c r="D656" s="57"/>
      <c r="E656" s="58"/>
      <c r="F656" s="57"/>
      <c r="G656" s="59"/>
      <c r="H656" s="59"/>
      <c r="I656" s="59"/>
      <c r="J656" s="59"/>
      <c r="K656" s="59"/>
      <c r="L656" s="59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</row>
    <row r="657">
      <c r="A657" s="57"/>
      <c r="B657" s="57"/>
      <c r="C657" s="57"/>
      <c r="D657" s="57"/>
      <c r="E657" s="58"/>
      <c r="F657" s="57"/>
      <c r="G657" s="59"/>
      <c r="H657" s="59"/>
      <c r="I657" s="59"/>
      <c r="J657" s="59"/>
      <c r="K657" s="59"/>
      <c r="L657" s="59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</row>
    <row r="658">
      <c r="A658" s="57"/>
      <c r="B658" s="57"/>
      <c r="C658" s="57"/>
      <c r="D658" s="57"/>
      <c r="E658" s="58"/>
      <c r="F658" s="57"/>
      <c r="G658" s="59"/>
      <c r="H658" s="59"/>
      <c r="I658" s="59"/>
      <c r="J658" s="59"/>
      <c r="K658" s="59"/>
      <c r="L658" s="59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</row>
    <row r="659">
      <c r="A659" s="57"/>
      <c r="B659" s="57"/>
      <c r="C659" s="57"/>
      <c r="D659" s="57"/>
      <c r="E659" s="58"/>
      <c r="F659" s="57"/>
      <c r="G659" s="59"/>
      <c r="H659" s="59"/>
      <c r="I659" s="59"/>
      <c r="J659" s="59"/>
      <c r="K659" s="59"/>
      <c r="L659" s="59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</row>
    <row r="660">
      <c r="A660" s="57"/>
      <c r="B660" s="57"/>
      <c r="C660" s="57"/>
      <c r="D660" s="57"/>
      <c r="E660" s="58"/>
      <c r="F660" s="57"/>
      <c r="G660" s="59"/>
      <c r="H660" s="59"/>
      <c r="I660" s="59"/>
      <c r="J660" s="59"/>
      <c r="K660" s="59"/>
      <c r="L660" s="59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</row>
    <row r="661">
      <c r="A661" s="57"/>
      <c r="B661" s="57"/>
      <c r="C661" s="57"/>
      <c r="D661" s="57"/>
      <c r="E661" s="58"/>
      <c r="F661" s="57"/>
      <c r="G661" s="59"/>
      <c r="H661" s="59"/>
      <c r="I661" s="59"/>
      <c r="J661" s="59"/>
      <c r="K661" s="59"/>
      <c r="L661" s="59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</row>
    <row r="662">
      <c r="A662" s="57"/>
      <c r="B662" s="57"/>
      <c r="C662" s="57"/>
      <c r="D662" s="57"/>
      <c r="E662" s="58"/>
      <c r="F662" s="57"/>
      <c r="G662" s="59"/>
      <c r="H662" s="59"/>
      <c r="I662" s="59"/>
      <c r="J662" s="59"/>
      <c r="K662" s="59"/>
      <c r="L662" s="59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</row>
    <row r="663">
      <c r="A663" s="57"/>
      <c r="B663" s="57"/>
      <c r="C663" s="57"/>
      <c r="D663" s="57"/>
      <c r="E663" s="58"/>
      <c r="F663" s="57"/>
      <c r="G663" s="59"/>
      <c r="H663" s="59"/>
      <c r="I663" s="59"/>
      <c r="J663" s="59"/>
      <c r="K663" s="59"/>
      <c r="L663" s="59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</row>
    <row r="664">
      <c r="A664" s="57"/>
      <c r="B664" s="57"/>
      <c r="C664" s="57"/>
      <c r="D664" s="57"/>
      <c r="E664" s="58"/>
      <c r="F664" s="57"/>
      <c r="G664" s="59"/>
      <c r="H664" s="59"/>
      <c r="I664" s="59"/>
      <c r="J664" s="59"/>
      <c r="K664" s="59"/>
      <c r="L664" s="59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</row>
    <row r="665">
      <c r="A665" s="57"/>
      <c r="B665" s="57"/>
      <c r="C665" s="57"/>
      <c r="D665" s="57"/>
      <c r="E665" s="58"/>
      <c r="F665" s="57"/>
      <c r="G665" s="59"/>
      <c r="H665" s="59"/>
      <c r="I665" s="59"/>
      <c r="J665" s="59"/>
      <c r="K665" s="59"/>
      <c r="L665" s="59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</row>
    <row r="666">
      <c r="A666" s="57"/>
      <c r="B666" s="57"/>
      <c r="C666" s="57"/>
      <c r="D666" s="57"/>
      <c r="E666" s="58"/>
      <c r="F666" s="57"/>
      <c r="G666" s="59"/>
      <c r="H666" s="59"/>
      <c r="I666" s="59"/>
      <c r="J666" s="59"/>
      <c r="K666" s="59"/>
      <c r="L666" s="59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</row>
    <row r="667">
      <c r="A667" s="57"/>
      <c r="B667" s="57"/>
      <c r="C667" s="57"/>
      <c r="D667" s="57"/>
      <c r="E667" s="58"/>
      <c r="F667" s="57"/>
      <c r="G667" s="59"/>
      <c r="H667" s="59"/>
      <c r="I667" s="59"/>
      <c r="J667" s="59"/>
      <c r="K667" s="59"/>
      <c r="L667" s="59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</row>
    <row r="668">
      <c r="A668" s="57"/>
      <c r="B668" s="57"/>
      <c r="C668" s="57"/>
      <c r="D668" s="57"/>
      <c r="E668" s="58"/>
      <c r="F668" s="57"/>
      <c r="G668" s="59"/>
      <c r="H668" s="59"/>
      <c r="I668" s="59"/>
      <c r="J668" s="59"/>
      <c r="K668" s="59"/>
      <c r="L668" s="59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</row>
    <row r="669">
      <c r="A669" s="57"/>
      <c r="B669" s="57"/>
      <c r="C669" s="57"/>
      <c r="D669" s="57"/>
      <c r="E669" s="58"/>
      <c r="F669" s="57"/>
      <c r="G669" s="59"/>
      <c r="H669" s="59"/>
      <c r="I669" s="59"/>
      <c r="J669" s="59"/>
      <c r="K669" s="59"/>
      <c r="L669" s="59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</row>
    <row r="670">
      <c r="A670" s="57"/>
      <c r="B670" s="57"/>
      <c r="C670" s="57"/>
      <c r="D670" s="57"/>
      <c r="E670" s="58"/>
      <c r="F670" s="57"/>
      <c r="G670" s="59"/>
      <c r="H670" s="59"/>
      <c r="I670" s="59"/>
      <c r="J670" s="59"/>
      <c r="K670" s="59"/>
      <c r="L670" s="59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</row>
    <row r="671">
      <c r="A671" s="57"/>
      <c r="B671" s="57"/>
      <c r="C671" s="57"/>
      <c r="D671" s="57"/>
      <c r="E671" s="58"/>
      <c r="F671" s="57"/>
      <c r="G671" s="59"/>
      <c r="H671" s="59"/>
      <c r="I671" s="59"/>
      <c r="J671" s="59"/>
      <c r="K671" s="59"/>
      <c r="L671" s="59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</row>
    <row r="672">
      <c r="A672" s="57"/>
      <c r="B672" s="57"/>
      <c r="C672" s="57"/>
      <c r="D672" s="57"/>
      <c r="E672" s="58"/>
      <c r="F672" s="57"/>
      <c r="G672" s="59"/>
      <c r="H672" s="59"/>
      <c r="I672" s="59"/>
      <c r="J672" s="59"/>
      <c r="K672" s="59"/>
      <c r="L672" s="59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</row>
    <row r="673">
      <c r="A673" s="57"/>
      <c r="B673" s="57"/>
      <c r="C673" s="57"/>
      <c r="D673" s="57"/>
      <c r="E673" s="58"/>
      <c r="F673" s="57"/>
      <c r="G673" s="59"/>
      <c r="H673" s="59"/>
      <c r="I673" s="59"/>
      <c r="J673" s="59"/>
      <c r="K673" s="59"/>
      <c r="L673" s="59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</row>
    <row r="674">
      <c r="A674" s="57"/>
      <c r="B674" s="57"/>
      <c r="C674" s="57"/>
      <c r="D674" s="57"/>
      <c r="E674" s="58"/>
      <c r="F674" s="57"/>
      <c r="G674" s="59"/>
      <c r="H674" s="59"/>
      <c r="I674" s="59"/>
      <c r="J674" s="59"/>
      <c r="K674" s="59"/>
      <c r="L674" s="59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</row>
    <row r="675">
      <c r="A675" s="57"/>
      <c r="B675" s="57"/>
      <c r="C675" s="57"/>
      <c r="D675" s="57"/>
      <c r="E675" s="58"/>
      <c r="F675" s="57"/>
      <c r="G675" s="59"/>
      <c r="H675" s="59"/>
      <c r="I675" s="59"/>
      <c r="J675" s="59"/>
      <c r="K675" s="59"/>
      <c r="L675" s="59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</row>
    <row r="676">
      <c r="A676" s="57"/>
      <c r="B676" s="57"/>
      <c r="C676" s="57"/>
      <c r="D676" s="57"/>
      <c r="E676" s="58"/>
      <c r="F676" s="57"/>
      <c r="G676" s="59"/>
      <c r="H676" s="59"/>
      <c r="I676" s="59"/>
      <c r="J676" s="59"/>
      <c r="K676" s="59"/>
      <c r="L676" s="59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</row>
    <row r="677">
      <c r="A677" s="57"/>
      <c r="B677" s="57"/>
      <c r="C677" s="57"/>
      <c r="D677" s="57"/>
      <c r="E677" s="58"/>
      <c r="F677" s="57"/>
      <c r="G677" s="59"/>
      <c r="H677" s="59"/>
      <c r="I677" s="59"/>
      <c r="J677" s="59"/>
      <c r="K677" s="59"/>
      <c r="L677" s="59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</row>
    <row r="678">
      <c r="A678" s="57"/>
      <c r="B678" s="57"/>
      <c r="C678" s="57"/>
      <c r="D678" s="57"/>
      <c r="E678" s="58"/>
      <c r="F678" s="57"/>
      <c r="G678" s="59"/>
      <c r="H678" s="59"/>
      <c r="I678" s="59"/>
      <c r="J678" s="59"/>
      <c r="K678" s="59"/>
      <c r="L678" s="59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</row>
    <row r="679">
      <c r="A679" s="57"/>
      <c r="B679" s="57"/>
      <c r="C679" s="57"/>
      <c r="D679" s="57"/>
      <c r="E679" s="58"/>
      <c r="F679" s="57"/>
      <c r="G679" s="59"/>
      <c r="H679" s="59"/>
      <c r="I679" s="59"/>
      <c r="J679" s="59"/>
      <c r="K679" s="59"/>
      <c r="L679" s="59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</row>
    <row r="680">
      <c r="A680" s="57"/>
      <c r="B680" s="57"/>
      <c r="C680" s="57"/>
      <c r="D680" s="57"/>
      <c r="E680" s="58"/>
      <c r="F680" s="57"/>
      <c r="G680" s="59"/>
      <c r="H680" s="59"/>
      <c r="I680" s="59"/>
      <c r="J680" s="59"/>
      <c r="K680" s="59"/>
      <c r="L680" s="59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</row>
    <row r="681">
      <c r="A681" s="57"/>
      <c r="B681" s="57"/>
      <c r="C681" s="57"/>
      <c r="D681" s="57"/>
      <c r="E681" s="58"/>
      <c r="F681" s="57"/>
      <c r="G681" s="59"/>
      <c r="H681" s="59"/>
      <c r="I681" s="59"/>
      <c r="J681" s="59"/>
      <c r="K681" s="59"/>
      <c r="L681" s="59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</row>
    <row r="682">
      <c r="A682" s="57"/>
      <c r="B682" s="57"/>
      <c r="C682" s="57"/>
      <c r="D682" s="57"/>
      <c r="E682" s="58"/>
      <c r="F682" s="57"/>
      <c r="G682" s="59"/>
      <c r="H682" s="59"/>
      <c r="I682" s="59"/>
      <c r="J682" s="59"/>
      <c r="K682" s="59"/>
      <c r="L682" s="59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</row>
    <row r="683">
      <c r="A683" s="57"/>
      <c r="B683" s="57"/>
      <c r="C683" s="57"/>
      <c r="D683" s="57"/>
      <c r="E683" s="58"/>
      <c r="F683" s="57"/>
      <c r="G683" s="59"/>
      <c r="H683" s="59"/>
      <c r="I683" s="59"/>
      <c r="J683" s="59"/>
      <c r="K683" s="59"/>
      <c r="L683" s="59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</row>
    <row r="684">
      <c r="A684" s="57"/>
      <c r="B684" s="57"/>
      <c r="C684" s="57"/>
      <c r="D684" s="57"/>
      <c r="E684" s="58"/>
      <c r="F684" s="57"/>
      <c r="G684" s="59"/>
      <c r="H684" s="59"/>
      <c r="I684" s="59"/>
      <c r="J684" s="59"/>
      <c r="K684" s="59"/>
      <c r="L684" s="59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</row>
    <row r="685">
      <c r="A685" s="57"/>
      <c r="B685" s="57"/>
      <c r="C685" s="57"/>
      <c r="D685" s="57"/>
      <c r="E685" s="58"/>
      <c r="F685" s="57"/>
      <c r="G685" s="59"/>
      <c r="H685" s="59"/>
      <c r="I685" s="59"/>
      <c r="J685" s="59"/>
      <c r="K685" s="59"/>
      <c r="L685" s="59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</row>
    <row r="686">
      <c r="A686" s="57"/>
      <c r="B686" s="57"/>
      <c r="C686" s="57"/>
      <c r="D686" s="57"/>
      <c r="E686" s="58"/>
      <c r="F686" s="57"/>
      <c r="G686" s="59"/>
      <c r="H686" s="59"/>
      <c r="I686" s="59"/>
      <c r="J686" s="59"/>
      <c r="K686" s="59"/>
      <c r="L686" s="59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</row>
    <row r="687">
      <c r="A687" s="57"/>
      <c r="B687" s="57"/>
      <c r="C687" s="57"/>
      <c r="D687" s="57"/>
      <c r="E687" s="58"/>
      <c r="F687" s="57"/>
      <c r="G687" s="59"/>
      <c r="H687" s="59"/>
      <c r="I687" s="59"/>
      <c r="J687" s="59"/>
      <c r="K687" s="59"/>
      <c r="L687" s="59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</row>
    <row r="688">
      <c r="A688" s="57"/>
      <c r="B688" s="57"/>
      <c r="C688" s="57"/>
      <c r="D688" s="57"/>
      <c r="E688" s="58"/>
      <c r="F688" s="57"/>
      <c r="G688" s="59"/>
      <c r="H688" s="59"/>
      <c r="I688" s="59"/>
      <c r="J688" s="59"/>
      <c r="K688" s="59"/>
      <c r="L688" s="59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</row>
    <row r="689">
      <c r="A689" s="57"/>
      <c r="B689" s="57"/>
      <c r="C689" s="57"/>
      <c r="D689" s="57"/>
      <c r="E689" s="58"/>
      <c r="F689" s="57"/>
      <c r="G689" s="59"/>
      <c r="H689" s="59"/>
      <c r="I689" s="59"/>
      <c r="J689" s="59"/>
      <c r="K689" s="59"/>
      <c r="L689" s="59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</row>
    <row r="690">
      <c r="A690" s="57"/>
      <c r="B690" s="57"/>
      <c r="C690" s="57"/>
      <c r="D690" s="57"/>
      <c r="E690" s="58"/>
      <c r="F690" s="57"/>
      <c r="G690" s="59"/>
      <c r="H690" s="59"/>
      <c r="I690" s="59"/>
      <c r="J690" s="59"/>
      <c r="K690" s="59"/>
      <c r="L690" s="59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</row>
    <row r="691">
      <c r="A691" s="57"/>
      <c r="B691" s="57"/>
      <c r="C691" s="57"/>
      <c r="D691" s="57"/>
      <c r="E691" s="58"/>
      <c r="F691" s="57"/>
      <c r="G691" s="59"/>
      <c r="H691" s="59"/>
      <c r="I691" s="59"/>
      <c r="J691" s="59"/>
      <c r="K691" s="59"/>
      <c r="L691" s="59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</row>
    <row r="692">
      <c r="A692" s="57"/>
      <c r="B692" s="57"/>
      <c r="C692" s="57"/>
      <c r="D692" s="57"/>
      <c r="E692" s="58"/>
      <c r="F692" s="57"/>
      <c r="G692" s="59"/>
      <c r="H692" s="59"/>
      <c r="I692" s="59"/>
      <c r="J692" s="59"/>
      <c r="K692" s="59"/>
      <c r="L692" s="59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</row>
    <row r="693">
      <c r="A693" s="57"/>
      <c r="B693" s="57"/>
      <c r="C693" s="57"/>
      <c r="D693" s="57"/>
      <c r="E693" s="58"/>
      <c r="F693" s="57"/>
      <c r="G693" s="59"/>
      <c r="H693" s="59"/>
      <c r="I693" s="59"/>
      <c r="J693" s="59"/>
      <c r="K693" s="59"/>
      <c r="L693" s="59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</row>
    <row r="694">
      <c r="A694" s="57"/>
      <c r="B694" s="57"/>
      <c r="C694" s="57"/>
      <c r="D694" s="57"/>
      <c r="E694" s="58"/>
      <c r="F694" s="57"/>
      <c r="G694" s="59"/>
      <c r="H694" s="59"/>
      <c r="I694" s="59"/>
      <c r="J694" s="59"/>
      <c r="K694" s="59"/>
      <c r="L694" s="59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</row>
    <row r="695">
      <c r="A695" s="57"/>
      <c r="B695" s="57"/>
      <c r="C695" s="57"/>
      <c r="D695" s="57"/>
      <c r="E695" s="58"/>
      <c r="F695" s="57"/>
      <c r="G695" s="59"/>
      <c r="H695" s="59"/>
      <c r="I695" s="59"/>
      <c r="J695" s="59"/>
      <c r="K695" s="59"/>
      <c r="L695" s="59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</row>
    <row r="696">
      <c r="A696" s="57"/>
      <c r="B696" s="57"/>
      <c r="C696" s="57"/>
      <c r="D696" s="57"/>
      <c r="E696" s="58"/>
      <c r="F696" s="57"/>
      <c r="G696" s="59"/>
      <c r="H696" s="59"/>
      <c r="I696" s="59"/>
      <c r="J696" s="59"/>
      <c r="K696" s="59"/>
      <c r="L696" s="59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</row>
    <row r="697">
      <c r="A697" s="57"/>
      <c r="B697" s="57"/>
      <c r="C697" s="57"/>
      <c r="D697" s="57"/>
      <c r="E697" s="58"/>
      <c r="F697" s="57"/>
      <c r="G697" s="59"/>
      <c r="H697" s="59"/>
      <c r="I697" s="59"/>
      <c r="J697" s="59"/>
      <c r="K697" s="59"/>
      <c r="L697" s="59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</row>
    <row r="698">
      <c r="A698" s="57"/>
      <c r="B698" s="57"/>
      <c r="C698" s="57"/>
      <c r="D698" s="57"/>
      <c r="E698" s="58"/>
      <c r="F698" s="57"/>
      <c r="G698" s="59"/>
      <c r="H698" s="59"/>
      <c r="I698" s="59"/>
      <c r="J698" s="59"/>
      <c r="K698" s="59"/>
      <c r="L698" s="59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</row>
    <row r="699">
      <c r="A699" s="57"/>
      <c r="B699" s="57"/>
      <c r="C699" s="57"/>
      <c r="D699" s="57"/>
      <c r="E699" s="58"/>
      <c r="F699" s="57"/>
      <c r="G699" s="59"/>
      <c r="H699" s="59"/>
      <c r="I699" s="59"/>
      <c r="J699" s="59"/>
      <c r="K699" s="59"/>
      <c r="L699" s="59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</row>
    <row r="700">
      <c r="A700" s="57"/>
      <c r="B700" s="57"/>
      <c r="C700" s="57"/>
      <c r="D700" s="57"/>
      <c r="E700" s="58"/>
      <c r="F700" s="57"/>
      <c r="G700" s="59"/>
      <c r="H700" s="59"/>
      <c r="I700" s="59"/>
      <c r="J700" s="59"/>
      <c r="K700" s="59"/>
      <c r="L700" s="59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</row>
    <row r="701">
      <c r="A701" s="57"/>
      <c r="B701" s="57"/>
      <c r="C701" s="57"/>
      <c r="D701" s="57"/>
      <c r="E701" s="58"/>
      <c r="F701" s="57"/>
      <c r="G701" s="59"/>
      <c r="H701" s="59"/>
      <c r="I701" s="59"/>
      <c r="J701" s="59"/>
      <c r="K701" s="59"/>
      <c r="L701" s="59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</row>
    <row r="702">
      <c r="A702" s="57"/>
      <c r="B702" s="57"/>
      <c r="C702" s="57"/>
      <c r="D702" s="57"/>
      <c r="E702" s="58"/>
      <c r="F702" s="57"/>
      <c r="G702" s="59"/>
      <c r="H702" s="59"/>
      <c r="I702" s="59"/>
      <c r="J702" s="59"/>
      <c r="K702" s="59"/>
      <c r="L702" s="59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</row>
    <row r="703">
      <c r="A703" s="57"/>
      <c r="B703" s="57"/>
      <c r="C703" s="57"/>
      <c r="D703" s="57"/>
      <c r="E703" s="58"/>
      <c r="F703" s="57"/>
      <c r="G703" s="59"/>
      <c r="H703" s="59"/>
      <c r="I703" s="59"/>
      <c r="J703" s="59"/>
      <c r="K703" s="59"/>
      <c r="L703" s="59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</row>
    <row r="704">
      <c r="A704" s="57"/>
      <c r="B704" s="57"/>
      <c r="C704" s="57"/>
      <c r="D704" s="57"/>
      <c r="E704" s="58"/>
      <c r="F704" s="57"/>
      <c r="G704" s="59"/>
      <c r="H704" s="59"/>
      <c r="I704" s="59"/>
      <c r="J704" s="59"/>
      <c r="K704" s="59"/>
      <c r="L704" s="59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</row>
    <row r="705">
      <c r="A705" s="57"/>
      <c r="B705" s="57"/>
      <c r="C705" s="57"/>
      <c r="D705" s="57"/>
      <c r="E705" s="58"/>
      <c r="F705" s="57"/>
      <c r="G705" s="59"/>
      <c r="H705" s="59"/>
      <c r="I705" s="59"/>
      <c r="J705" s="59"/>
      <c r="K705" s="59"/>
      <c r="L705" s="59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</row>
    <row r="706">
      <c r="A706" s="57"/>
      <c r="B706" s="57"/>
      <c r="C706" s="57"/>
      <c r="D706" s="57"/>
      <c r="E706" s="58"/>
      <c r="F706" s="57"/>
      <c r="G706" s="59"/>
      <c r="H706" s="59"/>
      <c r="I706" s="59"/>
      <c r="J706" s="59"/>
      <c r="K706" s="59"/>
      <c r="L706" s="59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</row>
    <row r="707">
      <c r="A707" s="57"/>
      <c r="B707" s="57"/>
      <c r="C707" s="57"/>
      <c r="D707" s="57"/>
      <c r="E707" s="58"/>
      <c r="F707" s="57"/>
      <c r="G707" s="59"/>
      <c r="H707" s="59"/>
      <c r="I707" s="59"/>
      <c r="J707" s="59"/>
      <c r="K707" s="59"/>
      <c r="L707" s="59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</row>
    <row r="708">
      <c r="A708" s="57"/>
      <c r="B708" s="57"/>
      <c r="C708" s="57"/>
      <c r="D708" s="57"/>
      <c r="E708" s="58"/>
      <c r="F708" s="57"/>
      <c r="G708" s="59"/>
      <c r="H708" s="59"/>
      <c r="I708" s="59"/>
      <c r="J708" s="59"/>
      <c r="K708" s="59"/>
      <c r="L708" s="59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</row>
    <row r="709">
      <c r="A709" s="57"/>
      <c r="B709" s="57"/>
      <c r="C709" s="57"/>
      <c r="D709" s="57"/>
      <c r="E709" s="58"/>
      <c r="F709" s="57"/>
      <c r="G709" s="59"/>
      <c r="H709" s="59"/>
      <c r="I709" s="59"/>
      <c r="J709" s="59"/>
      <c r="K709" s="59"/>
      <c r="L709" s="59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</row>
    <row r="710">
      <c r="A710" s="57"/>
      <c r="B710" s="57"/>
      <c r="C710" s="57"/>
      <c r="D710" s="57"/>
      <c r="E710" s="58"/>
      <c r="F710" s="57"/>
      <c r="G710" s="59"/>
      <c r="H710" s="59"/>
      <c r="I710" s="59"/>
      <c r="J710" s="59"/>
      <c r="K710" s="59"/>
      <c r="L710" s="59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</row>
    <row r="711">
      <c r="A711" s="57"/>
      <c r="B711" s="57"/>
      <c r="C711" s="57"/>
      <c r="D711" s="57"/>
      <c r="E711" s="58"/>
      <c r="F711" s="57"/>
      <c r="G711" s="59"/>
      <c r="H711" s="59"/>
      <c r="I711" s="59"/>
      <c r="J711" s="59"/>
      <c r="K711" s="59"/>
      <c r="L711" s="59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</row>
    <row r="712">
      <c r="A712" s="57"/>
      <c r="B712" s="57"/>
      <c r="C712" s="57"/>
      <c r="D712" s="57"/>
      <c r="E712" s="58"/>
      <c r="F712" s="57"/>
      <c r="G712" s="59"/>
      <c r="H712" s="59"/>
      <c r="I712" s="59"/>
      <c r="J712" s="59"/>
      <c r="K712" s="59"/>
      <c r="L712" s="59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</row>
    <row r="713">
      <c r="A713" s="57"/>
      <c r="B713" s="57"/>
      <c r="C713" s="57"/>
      <c r="D713" s="57"/>
      <c r="E713" s="58"/>
      <c r="F713" s="57"/>
      <c r="G713" s="59"/>
      <c r="H713" s="59"/>
      <c r="I713" s="59"/>
      <c r="J713" s="59"/>
      <c r="K713" s="59"/>
      <c r="L713" s="59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</row>
    <row r="714">
      <c r="A714" s="57"/>
      <c r="B714" s="57"/>
      <c r="C714" s="57"/>
      <c r="D714" s="57"/>
      <c r="E714" s="58"/>
      <c r="F714" s="57"/>
      <c r="G714" s="59"/>
      <c r="H714" s="59"/>
      <c r="I714" s="59"/>
      <c r="J714" s="59"/>
      <c r="K714" s="59"/>
      <c r="L714" s="59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</row>
    <row r="715">
      <c r="A715" s="57"/>
      <c r="B715" s="57"/>
      <c r="C715" s="57"/>
      <c r="D715" s="57"/>
      <c r="E715" s="58"/>
      <c r="F715" s="57"/>
      <c r="G715" s="59"/>
      <c r="H715" s="59"/>
      <c r="I715" s="59"/>
      <c r="J715" s="59"/>
      <c r="K715" s="59"/>
      <c r="L715" s="59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</row>
    <row r="716">
      <c r="A716" s="57"/>
      <c r="B716" s="57"/>
      <c r="C716" s="57"/>
      <c r="D716" s="57"/>
      <c r="E716" s="58"/>
      <c r="F716" s="57"/>
      <c r="G716" s="59"/>
      <c r="H716" s="59"/>
      <c r="I716" s="59"/>
      <c r="J716" s="59"/>
      <c r="K716" s="59"/>
      <c r="L716" s="59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</row>
    <row r="717">
      <c r="A717" s="57"/>
      <c r="B717" s="57"/>
      <c r="C717" s="57"/>
      <c r="D717" s="57"/>
      <c r="E717" s="58"/>
      <c r="F717" s="57"/>
      <c r="G717" s="59"/>
      <c r="H717" s="59"/>
      <c r="I717" s="59"/>
      <c r="J717" s="59"/>
      <c r="K717" s="59"/>
      <c r="L717" s="59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</row>
    <row r="718">
      <c r="A718" s="57"/>
      <c r="B718" s="57"/>
      <c r="C718" s="57"/>
      <c r="D718" s="57"/>
      <c r="E718" s="58"/>
      <c r="F718" s="57"/>
      <c r="G718" s="59"/>
      <c r="H718" s="59"/>
      <c r="I718" s="59"/>
      <c r="J718" s="59"/>
      <c r="K718" s="59"/>
      <c r="L718" s="59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</row>
    <row r="719">
      <c r="A719" s="57"/>
      <c r="B719" s="57"/>
      <c r="C719" s="57"/>
      <c r="D719" s="57"/>
      <c r="E719" s="58"/>
      <c r="F719" s="57"/>
      <c r="G719" s="59"/>
      <c r="H719" s="59"/>
      <c r="I719" s="59"/>
      <c r="J719" s="59"/>
      <c r="K719" s="59"/>
      <c r="L719" s="59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</row>
    <row r="720">
      <c r="A720" s="57"/>
      <c r="B720" s="57"/>
      <c r="C720" s="57"/>
      <c r="D720" s="57"/>
      <c r="E720" s="58"/>
      <c r="F720" s="57"/>
      <c r="G720" s="59"/>
      <c r="H720" s="59"/>
      <c r="I720" s="59"/>
      <c r="J720" s="59"/>
      <c r="K720" s="59"/>
      <c r="L720" s="59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</row>
    <row r="721">
      <c r="A721" s="57"/>
      <c r="B721" s="57"/>
      <c r="C721" s="57"/>
      <c r="D721" s="57"/>
      <c r="E721" s="58"/>
      <c r="F721" s="57"/>
      <c r="G721" s="59"/>
      <c r="H721" s="59"/>
      <c r="I721" s="59"/>
      <c r="J721" s="59"/>
      <c r="K721" s="59"/>
      <c r="L721" s="59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</row>
    <row r="722">
      <c r="A722" s="57"/>
      <c r="B722" s="57"/>
      <c r="C722" s="57"/>
      <c r="D722" s="57"/>
      <c r="E722" s="58"/>
      <c r="F722" s="57"/>
      <c r="G722" s="59"/>
      <c r="H722" s="59"/>
      <c r="I722" s="59"/>
      <c r="J722" s="59"/>
      <c r="K722" s="59"/>
      <c r="L722" s="59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</row>
    <row r="723">
      <c r="A723" s="57"/>
      <c r="B723" s="57"/>
      <c r="C723" s="57"/>
      <c r="D723" s="57"/>
      <c r="E723" s="58"/>
      <c r="F723" s="57"/>
      <c r="G723" s="59"/>
      <c r="H723" s="59"/>
      <c r="I723" s="59"/>
      <c r="J723" s="59"/>
      <c r="K723" s="59"/>
      <c r="L723" s="59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</row>
    <row r="724">
      <c r="A724" s="57"/>
      <c r="B724" s="57"/>
      <c r="C724" s="57"/>
      <c r="D724" s="57"/>
      <c r="E724" s="58"/>
      <c r="F724" s="57"/>
      <c r="G724" s="59"/>
      <c r="H724" s="59"/>
      <c r="I724" s="59"/>
      <c r="J724" s="59"/>
      <c r="K724" s="59"/>
      <c r="L724" s="59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</row>
    <row r="725">
      <c r="A725" s="57"/>
      <c r="B725" s="57"/>
      <c r="C725" s="57"/>
      <c r="D725" s="57"/>
      <c r="E725" s="58"/>
      <c r="F725" s="57"/>
      <c r="G725" s="59"/>
      <c r="H725" s="59"/>
      <c r="I725" s="59"/>
      <c r="J725" s="59"/>
      <c r="K725" s="59"/>
      <c r="L725" s="59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</row>
    <row r="726">
      <c r="A726" s="57"/>
      <c r="B726" s="57"/>
      <c r="C726" s="57"/>
      <c r="D726" s="57"/>
      <c r="E726" s="58"/>
      <c r="F726" s="57"/>
      <c r="G726" s="59"/>
      <c r="H726" s="59"/>
      <c r="I726" s="59"/>
      <c r="J726" s="59"/>
      <c r="K726" s="59"/>
      <c r="L726" s="59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</row>
    <row r="727">
      <c r="A727" s="57"/>
      <c r="B727" s="57"/>
      <c r="C727" s="57"/>
      <c r="D727" s="57"/>
      <c r="E727" s="58"/>
      <c r="F727" s="57"/>
      <c r="G727" s="59"/>
      <c r="H727" s="59"/>
      <c r="I727" s="59"/>
      <c r="J727" s="59"/>
      <c r="K727" s="59"/>
      <c r="L727" s="59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</row>
    <row r="728">
      <c r="A728" s="57"/>
      <c r="B728" s="57"/>
      <c r="C728" s="57"/>
      <c r="D728" s="57"/>
      <c r="E728" s="58"/>
      <c r="F728" s="57"/>
      <c r="G728" s="59"/>
      <c r="H728" s="59"/>
      <c r="I728" s="59"/>
      <c r="J728" s="59"/>
      <c r="K728" s="59"/>
      <c r="L728" s="59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</row>
    <row r="729">
      <c r="A729" s="57"/>
      <c r="B729" s="57"/>
      <c r="C729" s="57"/>
      <c r="D729" s="57"/>
      <c r="E729" s="58"/>
      <c r="F729" s="57"/>
      <c r="G729" s="59"/>
      <c r="H729" s="59"/>
      <c r="I729" s="59"/>
      <c r="J729" s="59"/>
      <c r="K729" s="59"/>
      <c r="L729" s="59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</row>
    <row r="730">
      <c r="A730" s="57"/>
      <c r="B730" s="57"/>
      <c r="C730" s="57"/>
      <c r="D730" s="57"/>
      <c r="E730" s="58"/>
      <c r="F730" s="57"/>
      <c r="G730" s="59"/>
      <c r="H730" s="59"/>
      <c r="I730" s="59"/>
      <c r="J730" s="59"/>
      <c r="K730" s="59"/>
      <c r="L730" s="59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</row>
    <row r="731">
      <c r="A731" s="57"/>
      <c r="B731" s="57"/>
      <c r="C731" s="57"/>
      <c r="D731" s="57"/>
      <c r="E731" s="58"/>
      <c r="F731" s="57"/>
      <c r="G731" s="59"/>
      <c r="H731" s="59"/>
      <c r="I731" s="59"/>
      <c r="J731" s="59"/>
      <c r="K731" s="59"/>
      <c r="L731" s="59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</row>
    <row r="732">
      <c r="A732" s="57"/>
      <c r="B732" s="57"/>
      <c r="C732" s="57"/>
      <c r="D732" s="57"/>
      <c r="E732" s="58"/>
      <c r="F732" s="57"/>
      <c r="G732" s="59"/>
      <c r="H732" s="59"/>
      <c r="I732" s="59"/>
      <c r="J732" s="59"/>
      <c r="K732" s="59"/>
      <c r="L732" s="59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</row>
    <row r="733">
      <c r="A733" s="57"/>
      <c r="B733" s="57"/>
      <c r="C733" s="57"/>
      <c r="D733" s="57"/>
      <c r="E733" s="58"/>
      <c r="F733" s="57"/>
      <c r="G733" s="59"/>
      <c r="H733" s="59"/>
      <c r="I733" s="59"/>
      <c r="J733" s="59"/>
      <c r="K733" s="59"/>
      <c r="L733" s="59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</row>
    <row r="734">
      <c r="A734" s="57"/>
      <c r="B734" s="57"/>
      <c r="C734" s="57"/>
      <c r="D734" s="57"/>
      <c r="E734" s="58"/>
      <c r="F734" s="57"/>
      <c r="G734" s="59"/>
      <c r="H734" s="59"/>
      <c r="I734" s="59"/>
      <c r="J734" s="59"/>
      <c r="K734" s="59"/>
      <c r="L734" s="59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</row>
    <row r="735">
      <c r="A735" s="57"/>
      <c r="B735" s="57"/>
      <c r="C735" s="57"/>
      <c r="D735" s="57"/>
      <c r="E735" s="58"/>
      <c r="F735" s="57"/>
      <c r="G735" s="59"/>
      <c r="H735" s="59"/>
      <c r="I735" s="59"/>
      <c r="J735" s="59"/>
      <c r="K735" s="59"/>
      <c r="L735" s="59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</row>
    <row r="736">
      <c r="A736" s="57"/>
      <c r="B736" s="57"/>
      <c r="C736" s="57"/>
      <c r="D736" s="57"/>
      <c r="E736" s="58"/>
      <c r="F736" s="57"/>
      <c r="G736" s="59"/>
      <c r="H736" s="59"/>
      <c r="I736" s="59"/>
      <c r="J736" s="59"/>
      <c r="K736" s="59"/>
      <c r="L736" s="59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</row>
    <row r="737">
      <c r="A737" s="57"/>
      <c r="B737" s="57"/>
      <c r="C737" s="57"/>
      <c r="D737" s="57"/>
      <c r="E737" s="58"/>
      <c r="F737" s="57"/>
      <c r="G737" s="59"/>
      <c r="H737" s="59"/>
      <c r="I737" s="59"/>
      <c r="J737" s="59"/>
      <c r="K737" s="59"/>
      <c r="L737" s="59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</row>
    <row r="738">
      <c r="A738" s="57"/>
      <c r="B738" s="57"/>
      <c r="C738" s="57"/>
      <c r="D738" s="57"/>
      <c r="E738" s="58"/>
      <c r="F738" s="57"/>
      <c r="G738" s="59"/>
      <c r="H738" s="59"/>
      <c r="I738" s="59"/>
      <c r="J738" s="59"/>
      <c r="K738" s="59"/>
      <c r="L738" s="59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</row>
    <row r="739">
      <c r="A739" s="57"/>
      <c r="B739" s="57"/>
      <c r="C739" s="57"/>
      <c r="D739" s="57"/>
      <c r="E739" s="58"/>
      <c r="F739" s="57"/>
      <c r="G739" s="59"/>
      <c r="H739" s="59"/>
      <c r="I739" s="59"/>
      <c r="J739" s="59"/>
      <c r="K739" s="59"/>
      <c r="L739" s="59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</row>
    <row r="740">
      <c r="A740" s="57"/>
      <c r="B740" s="57"/>
      <c r="C740" s="57"/>
      <c r="D740" s="57"/>
      <c r="E740" s="58"/>
      <c r="F740" s="57"/>
      <c r="G740" s="59"/>
      <c r="H740" s="59"/>
      <c r="I740" s="59"/>
      <c r="J740" s="59"/>
      <c r="K740" s="59"/>
      <c r="L740" s="59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</row>
    <row r="741">
      <c r="A741" s="57"/>
      <c r="B741" s="57"/>
      <c r="C741" s="57"/>
      <c r="D741" s="57"/>
      <c r="E741" s="58"/>
      <c r="F741" s="57"/>
      <c r="G741" s="59"/>
      <c r="H741" s="59"/>
      <c r="I741" s="59"/>
      <c r="J741" s="59"/>
      <c r="K741" s="59"/>
      <c r="L741" s="59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</row>
    <row r="742">
      <c r="A742" s="57"/>
      <c r="B742" s="57"/>
      <c r="C742" s="57"/>
      <c r="D742" s="57"/>
      <c r="E742" s="58"/>
      <c r="F742" s="57"/>
      <c r="G742" s="59"/>
      <c r="H742" s="59"/>
      <c r="I742" s="59"/>
      <c r="J742" s="59"/>
      <c r="K742" s="59"/>
      <c r="L742" s="59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</row>
    <row r="743">
      <c r="A743" s="57"/>
      <c r="B743" s="57"/>
      <c r="C743" s="57"/>
      <c r="D743" s="57"/>
      <c r="E743" s="58"/>
      <c r="F743" s="57"/>
      <c r="G743" s="59"/>
      <c r="H743" s="59"/>
      <c r="I743" s="59"/>
      <c r="J743" s="59"/>
      <c r="K743" s="59"/>
      <c r="L743" s="59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</row>
    <row r="744">
      <c r="A744" s="57"/>
      <c r="B744" s="57"/>
      <c r="C744" s="57"/>
      <c r="D744" s="57"/>
      <c r="E744" s="58"/>
      <c r="F744" s="57"/>
      <c r="G744" s="59"/>
      <c r="H744" s="59"/>
      <c r="I744" s="59"/>
      <c r="J744" s="59"/>
      <c r="K744" s="59"/>
      <c r="L744" s="59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</row>
    <row r="745">
      <c r="A745" s="57"/>
      <c r="B745" s="57"/>
      <c r="C745" s="57"/>
      <c r="D745" s="57"/>
      <c r="E745" s="58"/>
      <c r="F745" s="57"/>
      <c r="G745" s="59"/>
      <c r="H745" s="59"/>
      <c r="I745" s="59"/>
      <c r="J745" s="59"/>
      <c r="K745" s="59"/>
      <c r="L745" s="59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</row>
    <row r="746">
      <c r="A746" s="57"/>
      <c r="B746" s="57"/>
      <c r="C746" s="57"/>
      <c r="D746" s="57"/>
      <c r="E746" s="58"/>
      <c r="F746" s="57"/>
      <c r="G746" s="59"/>
      <c r="H746" s="59"/>
      <c r="I746" s="59"/>
      <c r="J746" s="59"/>
      <c r="K746" s="59"/>
      <c r="L746" s="59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</row>
    <row r="747">
      <c r="A747" s="57"/>
      <c r="B747" s="57"/>
      <c r="C747" s="57"/>
      <c r="D747" s="57"/>
      <c r="E747" s="58"/>
      <c r="F747" s="57"/>
      <c r="G747" s="59"/>
      <c r="H747" s="59"/>
      <c r="I747" s="59"/>
      <c r="J747" s="59"/>
      <c r="K747" s="59"/>
      <c r="L747" s="59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</row>
    <row r="748">
      <c r="A748" s="57"/>
      <c r="B748" s="57"/>
      <c r="C748" s="57"/>
      <c r="D748" s="57"/>
      <c r="E748" s="58"/>
      <c r="F748" s="57"/>
      <c r="G748" s="59"/>
      <c r="H748" s="59"/>
      <c r="I748" s="59"/>
      <c r="J748" s="59"/>
      <c r="K748" s="59"/>
      <c r="L748" s="59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</row>
    <row r="749">
      <c r="A749" s="57"/>
      <c r="B749" s="57"/>
      <c r="C749" s="57"/>
      <c r="D749" s="57"/>
      <c r="E749" s="58"/>
      <c r="F749" s="57"/>
      <c r="G749" s="59"/>
      <c r="H749" s="59"/>
      <c r="I749" s="59"/>
      <c r="J749" s="59"/>
      <c r="K749" s="59"/>
      <c r="L749" s="59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</row>
    <row r="750">
      <c r="A750" s="57"/>
      <c r="B750" s="57"/>
      <c r="C750" s="57"/>
      <c r="D750" s="57"/>
      <c r="E750" s="58"/>
      <c r="F750" s="57"/>
      <c r="G750" s="59"/>
      <c r="H750" s="59"/>
      <c r="I750" s="59"/>
      <c r="J750" s="59"/>
      <c r="K750" s="59"/>
      <c r="L750" s="59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</row>
    <row r="751">
      <c r="A751" s="57"/>
      <c r="B751" s="57"/>
      <c r="C751" s="57"/>
      <c r="D751" s="57"/>
      <c r="E751" s="58"/>
      <c r="F751" s="57"/>
      <c r="G751" s="59"/>
      <c r="H751" s="59"/>
      <c r="I751" s="59"/>
      <c r="J751" s="59"/>
      <c r="K751" s="59"/>
      <c r="L751" s="59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</row>
    <row r="752">
      <c r="A752" s="57"/>
      <c r="B752" s="57"/>
      <c r="C752" s="57"/>
      <c r="D752" s="57"/>
      <c r="E752" s="58"/>
      <c r="F752" s="57"/>
      <c r="G752" s="59"/>
      <c r="H752" s="59"/>
      <c r="I752" s="59"/>
      <c r="J752" s="59"/>
      <c r="K752" s="59"/>
      <c r="L752" s="59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</row>
    <row r="753">
      <c r="A753" s="57"/>
      <c r="B753" s="57"/>
      <c r="C753" s="57"/>
      <c r="D753" s="57"/>
      <c r="E753" s="58"/>
      <c r="F753" s="57"/>
      <c r="G753" s="59"/>
      <c r="H753" s="59"/>
      <c r="I753" s="59"/>
      <c r="J753" s="59"/>
      <c r="K753" s="59"/>
      <c r="L753" s="59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</row>
    <row r="754">
      <c r="A754" s="57"/>
      <c r="B754" s="57"/>
      <c r="C754" s="57"/>
      <c r="D754" s="57"/>
      <c r="E754" s="58"/>
      <c r="F754" s="57"/>
      <c r="G754" s="59"/>
      <c r="H754" s="59"/>
      <c r="I754" s="59"/>
      <c r="J754" s="59"/>
      <c r="K754" s="59"/>
      <c r="L754" s="59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</row>
    <row r="755">
      <c r="A755" s="57"/>
      <c r="B755" s="57"/>
      <c r="C755" s="57"/>
      <c r="D755" s="57"/>
      <c r="E755" s="58"/>
      <c r="F755" s="57"/>
      <c r="G755" s="59"/>
      <c r="H755" s="59"/>
      <c r="I755" s="59"/>
      <c r="J755" s="59"/>
      <c r="K755" s="59"/>
      <c r="L755" s="59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</row>
    <row r="756">
      <c r="A756" s="57"/>
      <c r="B756" s="57"/>
      <c r="C756" s="57"/>
      <c r="D756" s="57"/>
      <c r="E756" s="58"/>
      <c r="F756" s="57"/>
      <c r="G756" s="59"/>
      <c r="H756" s="59"/>
      <c r="I756" s="59"/>
      <c r="J756" s="59"/>
      <c r="K756" s="59"/>
      <c r="L756" s="59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</row>
    <row r="757">
      <c r="A757" s="57"/>
      <c r="B757" s="57"/>
      <c r="C757" s="57"/>
      <c r="D757" s="57"/>
      <c r="E757" s="58"/>
      <c r="F757" s="57"/>
      <c r="G757" s="59"/>
      <c r="H757" s="59"/>
      <c r="I757" s="59"/>
      <c r="J757" s="59"/>
      <c r="K757" s="59"/>
      <c r="L757" s="59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</row>
    <row r="758">
      <c r="A758" s="57"/>
      <c r="B758" s="57"/>
      <c r="C758" s="57"/>
      <c r="D758" s="57"/>
      <c r="E758" s="58"/>
      <c r="F758" s="57"/>
      <c r="G758" s="59"/>
      <c r="H758" s="59"/>
      <c r="I758" s="59"/>
      <c r="J758" s="59"/>
      <c r="K758" s="59"/>
      <c r="L758" s="59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</row>
    <row r="759">
      <c r="A759" s="57"/>
      <c r="B759" s="57"/>
      <c r="C759" s="57"/>
      <c r="D759" s="57"/>
      <c r="E759" s="58"/>
      <c r="F759" s="57"/>
      <c r="G759" s="59"/>
      <c r="H759" s="59"/>
      <c r="I759" s="59"/>
      <c r="J759" s="59"/>
      <c r="K759" s="59"/>
      <c r="L759" s="59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</row>
    <row r="760">
      <c r="A760" s="57"/>
      <c r="B760" s="57"/>
      <c r="C760" s="57"/>
      <c r="D760" s="57"/>
      <c r="E760" s="58"/>
      <c r="F760" s="57"/>
      <c r="G760" s="59"/>
      <c r="H760" s="59"/>
      <c r="I760" s="59"/>
      <c r="J760" s="59"/>
      <c r="K760" s="59"/>
      <c r="L760" s="59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</row>
    <row r="761">
      <c r="A761" s="57"/>
      <c r="B761" s="57"/>
      <c r="C761" s="57"/>
      <c r="D761" s="57"/>
      <c r="E761" s="58"/>
      <c r="F761" s="57"/>
      <c r="G761" s="59"/>
      <c r="H761" s="59"/>
      <c r="I761" s="59"/>
      <c r="J761" s="59"/>
      <c r="K761" s="59"/>
      <c r="L761" s="59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</row>
    <row r="762">
      <c r="A762" s="57"/>
      <c r="B762" s="57"/>
      <c r="C762" s="57"/>
      <c r="D762" s="57"/>
      <c r="E762" s="58"/>
      <c r="F762" s="57"/>
      <c r="G762" s="59"/>
      <c r="H762" s="59"/>
      <c r="I762" s="59"/>
      <c r="J762" s="59"/>
      <c r="K762" s="59"/>
      <c r="L762" s="59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</row>
    <row r="763">
      <c r="A763" s="57"/>
      <c r="B763" s="57"/>
      <c r="C763" s="57"/>
      <c r="D763" s="57"/>
      <c r="E763" s="58"/>
      <c r="F763" s="57"/>
      <c r="G763" s="59"/>
      <c r="H763" s="59"/>
      <c r="I763" s="59"/>
      <c r="J763" s="59"/>
      <c r="K763" s="59"/>
      <c r="L763" s="59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</row>
    <row r="764">
      <c r="A764" s="57"/>
      <c r="B764" s="57"/>
      <c r="C764" s="57"/>
      <c r="D764" s="57"/>
      <c r="E764" s="58"/>
      <c r="F764" s="57"/>
      <c r="G764" s="59"/>
      <c r="H764" s="59"/>
      <c r="I764" s="59"/>
      <c r="J764" s="59"/>
      <c r="K764" s="59"/>
      <c r="L764" s="59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</row>
    <row r="765">
      <c r="A765" s="57"/>
      <c r="B765" s="57"/>
      <c r="C765" s="57"/>
      <c r="D765" s="57"/>
      <c r="E765" s="58"/>
      <c r="F765" s="57"/>
      <c r="G765" s="59"/>
      <c r="H765" s="59"/>
      <c r="I765" s="59"/>
      <c r="J765" s="59"/>
      <c r="K765" s="59"/>
      <c r="L765" s="59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</row>
    <row r="766">
      <c r="A766" s="57"/>
      <c r="B766" s="57"/>
      <c r="C766" s="57"/>
      <c r="D766" s="57"/>
      <c r="E766" s="58"/>
      <c r="F766" s="57"/>
      <c r="G766" s="59"/>
      <c r="H766" s="59"/>
      <c r="I766" s="59"/>
      <c r="J766" s="59"/>
      <c r="K766" s="59"/>
      <c r="L766" s="59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</row>
    <row r="767">
      <c r="A767" s="57"/>
      <c r="B767" s="57"/>
      <c r="C767" s="57"/>
      <c r="D767" s="57"/>
      <c r="E767" s="58"/>
      <c r="F767" s="57"/>
      <c r="G767" s="59"/>
      <c r="H767" s="59"/>
      <c r="I767" s="59"/>
      <c r="J767" s="59"/>
      <c r="K767" s="59"/>
      <c r="L767" s="59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</row>
    <row r="768">
      <c r="A768" s="57"/>
      <c r="B768" s="57"/>
      <c r="C768" s="57"/>
      <c r="D768" s="57"/>
      <c r="E768" s="58"/>
      <c r="F768" s="57"/>
      <c r="G768" s="59"/>
      <c r="H768" s="59"/>
      <c r="I768" s="59"/>
      <c r="J768" s="59"/>
      <c r="K768" s="59"/>
      <c r="L768" s="59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</row>
    <row r="769">
      <c r="A769" s="57"/>
      <c r="B769" s="57"/>
      <c r="C769" s="57"/>
      <c r="D769" s="57"/>
      <c r="E769" s="58"/>
      <c r="F769" s="57"/>
      <c r="G769" s="59"/>
      <c r="H769" s="59"/>
      <c r="I769" s="59"/>
      <c r="J769" s="59"/>
      <c r="K769" s="59"/>
      <c r="L769" s="59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</row>
    <row r="770">
      <c r="A770" s="57"/>
      <c r="B770" s="57"/>
      <c r="C770" s="57"/>
      <c r="D770" s="57"/>
      <c r="E770" s="58"/>
      <c r="F770" s="57"/>
      <c r="G770" s="59"/>
      <c r="H770" s="59"/>
      <c r="I770" s="59"/>
      <c r="J770" s="59"/>
      <c r="K770" s="59"/>
      <c r="L770" s="59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</row>
    <row r="771">
      <c r="A771" s="57"/>
      <c r="B771" s="57"/>
      <c r="C771" s="57"/>
      <c r="D771" s="57"/>
      <c r="E771" s="58"/>
      <c r="F771" s="57"/>
      <c r="G771" s="59"/>
      <c r="H771" s="59"/>
      <c r="I771" s="59"/>
      <c r="J771" s="59"/>
      <c r="K771" s="59"/>
      <c r="L771" s="59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</row>
    <row r="772">
      <c r="A772" s="57"/>
      <c r="B772" s="57"/>
      <c r="C772" s="57"/>
      <c r="D772" s="57"/>
      <c r="E772" s="58"/>
      <c r="F772" s="57"/>
      <c r="G772" s="59"/>
      <c r="H772" s="59"/>
      <c r="I772" s="59"/>
      <c r="J772" s="59"/>
      <c r="K772" s="59"/>
      <c r="L772" s="59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</row>
    <row r="773">
      <c r="A773" s="57"/>
      <c r="B773" s="57"/>
      <c r="C773" s="57"/>
      <c r="D773" s="57"/>
      <c r="E773" s="58"/>
      <c r="F773" s="57"/>
      <c r="G773" s="59"/>
      <c r="H773" s="59"/>
      <c r="I773" s="59"/>
      <c r="J773" s="59"/>
      <c r="K773" s="59"/>
      <c r="L773" s="59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</row>
    <row r="774">
      <c r="A774" s="57"/>
      <c r="B774" s="57"/>
      <c r="C774" s="57"/>
      <c r="D774" s="57"/>
      <c r="E774" s="58"/>
      <c r="F774" s="57"/>
      <c r="G774" s="59"/>
      <c r="H774" s="59"/>
      <c r="I774" s="59"/>
      <c r="J774" s="59"/>
      <c r="K774" s="59"/>
      <c r="L774" s="59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</row>
    <row r="775">
      <c r="A775" s="57"/>
      <c r="B775" s="57"/>
      <c r="C775" s="57"/>
      <c r="D775" s="57"/>
      <c r="E775" s="58"/>
      <c r="F775" s="57"/>
      <c r="G775" s="59"/>
      <c r="H775" s="59"/>
      <c r="I775" s="59"/>
      <c r="J775" s="59"/>
      <c r="K775" s="59"/>
      <c r="L775" s="59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</row>
    <row r="776">
      <c r="A776" s="57"/>
      <c r="B776" s="57"/>
      <c r="C776" s="57"/>
      <c r="D776" s="57"/>
      <c r="E776" s="58"/>
      <c r="F776" s="57"/>
      <c r="G776" s="59"/>
      <c r="H776" s="59"/>
      <c r="I776" s="59"/>
      <c r="J776" s="59"/>
      <c r="K776" s="59"/>
      <c r="L776" s="59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</row>
    <row r="777">
      <c r="A777" s="57"/>
      <c r="B777" s="57"/>
      <c r="C777" s="57"/>
      <c r="D777" s="57"/>
      <c r="E777" s="58"/>
      <c r="F777" s="57"/>
      <c r="G777" s="59"/>
      <c r="H777" s="59"/>
      <c r="I777" s="59"/>
      <c r="J777" s="59"/>
      <c r="K777" s="59"/>
      <c r="L777" s="59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</row>
    <row r="778">
      <c r="A778" s="57"/>
      <c r="B778" s="57"/>
      <c r="C778" s="57"/>
      <c r="D778" s="57"/>
      <c r="E778" s="58"/>
      <c r="F778" s="57"/>
      <c r="G778" s="59"/>
      <c r="H778" s="59"/>
      <c r="I778" s="59"/>
      <c r="J778" s="59"/>
      <c r="K778" s="59"/>
      <c r="L778" s="59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</row>
    <row r="779">
      <c r="A779" s="57"/>
      <c r="B779" s="57"/>
      <c r="C779" s="57"/>
      <c r="D779" s="57"/>
      <c r="E779" s="58"/>
      <c r="F779" s="57"/>
      <c r="G779" s="59"/>
      <c r="H779" s="59"/>
      <c r="I779" s="59"/>
      <c r="J779" s="59"/>
      <c r="K779" s="59"/>
      <c r="L779" s="59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</row>
    <row r="780">
      <c r="A780" s="57"/>
      <c r="B780" s="57"/>
      <c r="C780" s="57"/>
      <c r="D780" s="57"/>
      <c r="E780" s="58"/>
      <c r="F780" s="57"/>
      <c r="G780" s="59"/>
      <c r="H780" s="59"/>
      <c r="I780" s="59"/>
      <c r="J780" s="59"/>
      <c r="K780" s="59"/>
      <c r="L780" s="59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</row>
    <row r="781">
      <c r="A781" s="57"/>
      <c r="B781" s="57"/>
      <c r="C781" s="57"/>
      <c r="D781" s="57"/>
      <c r="E781" s="58"/>
      <c r="F781" s="57"/>
      <c r="G781" s="59"/>
      <c r="H781" s="59"/>
      <c r="I781" s="59"/>
      <c r="J781" s="59"/>
      <c r="K781" s="59"/>
      <c r="L781" s="59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</row>
    <row r="782">
      <c r="A782" s="57"/>
      <c r="B782" s="57"/>
      <c r="C782" s="57"/>
      <c r="D782" s="57"/>
      <c r="E782" s="58"/>
      <c r="F782" s="57"/>
      <c r="G782" s="59"/>
      <c r="H782" s="59"/>
      <c r="I782" s="59"/>
      <c r="J782" s="59"/>
      <c r="K782" s="59"/>
      <c r="L782" s="59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</row>
    <row r="783">
      <c r="A783" s="57"/>
      <c r="B783" s="57"/>
      <c r="C783" s="57"/>
      <c r="D783" s="57"/>
      <c r="E783" s="58"/>
      <c r="F783" s="57"/>
      <c r="G783" s="59"/>
      <c r="H783" s="59"/>
      <c r="I783" s="59"/>
      <c r="J783" s="59"/>
      <c r="K783" s="59"/>
      <c r="L783" s="59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</row>
    <row r="784">
      <c r="A784" s="57"/>
      <c r="B784" s="57"/>
      <c r="C784" s="57"/>
      <c r="D784" s="57"/>
      <c r="E784" s="58"/>
      <c r="F784" s="57"/>
      <c r="G784" s="59"/>
      <c r="H784" s="59"/>
      <c r="I784" s="59"/>
      <c r="J784" s="59"/>
      <c r="K784" s="59"/>
      <c r="L784" s="59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</row>
    <row r="785">
      <c r="A785" s="57"/>
      <c r="B785" s="57"/>
      <c r="C785" s="57"/>
      <c r="D785" s="57"/>
      <c r="E785" s="58"/>
      <c r="F785" s="57"/>
      <c r="G785" s="59"/>
      <c r="H785" s="59"/>
      <c r="I785" s="59"/>
      <c r="J785" s="59"/>
      <c r="K785" s="59"/>
      <c r="L785" s="59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</row>
    <row r="786">
      <c r="A786" s="57"/>
      <c r="B786" s="57"/>
      <c r="C786" s="57"/>
      <c r="D786" s="57"/>
      <c r="E786" s="58"/>
      <c r="F786" s="57"/>
      <c r="G786" s="59"/>
      <c r="H786" s="59"/>
      <c r="I786" s="59"/>
      <c r="J786" s="59"/>
      <c r="K786" s="59"/>
      <c r="L786" s="59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</row>
    <row r="787">
      <c r="A787" s="57"/>
      <c r="B787" s="57"/>
      <c r="C787" s="57"/>
      <c r="D787" s="57"/>
      <c r="E787" s="58"/>
      <c r="F787" s="57"/>
      <c r="G787" s="59"/>
      <c r="H787" s="59"/>
      <c r="I787" s="59"/>
      <c r="J787" s="59"/>
      <c r="K787" s="59"/>
      <c r="L787" s="59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</row>
    <row r="788">
      <c r="A788" s="57"/>
      <c r="B788" s="57"/>
      <c r="C788" s="57"/>
      <c r="D788" s="57"/>
      <c r="E788" s="58"/>
      <c r="F788" s="57"/>
      <c r="G788" s="59"/>
      <c r="H788" s="59"/>
      <c r="I788" s="59"/>
      <c r="J788" s="59"/>
      <c r="K788" s="59"/>
      <c r="L788" s="59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</row>
    <row r="789">
      <c r="A789" s="57"/>
      <c r="B789" s="57"/>
      <c r="C789" s="57"/>
      <c r="D789" s="57"/>
      <c r="E789" s="58"/>
      <c r="F789" s="57"/>
      <c r="G789" s="59"/>
      <c r="H789" s="59"/>
      <c r="I789" s="59"/>
      <c r="J789" s="59"/>
      <c r="K789" s="59"/>
      <c r="L789" s="59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</row>
    <row r="790">
      <c r="A790" s="57"/>
      <c r="B790" s="57"/>
      <c r="C790" s="57"/>
      <c r="D790" s="57"/>
      <c r="E790" s="58"/>
      <c r="F790" s="57"/>
      <c r="G790" s="59"/>
      <c r="H790" s="59"/>
      <c r="I790" s="59"/>
      <c r="J790" s="59"/>
      <c r="K790" s="59"/>
      <c r="L790" s="59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</row>
    <row r="791">
      <c r="A791" s="57"/>
      <c r="B791" s="57"/>
      <c r="C791" s="57"/>
      <c r="D791" s="57"/>
      <c r="E791" s="58"/>
      <c r="F791" s="57"/>
      <c r="G791" s="59"/>
      <c r="H791" s="59"/>
      <c r="I791" s="59"/>
      <c r="J791" s="59"/>
      <c r="K791" s="59"/>
      <c r="L791" s="59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</row>
    <row r="792">
      <c r="A792" s="57"/>
      <c r="B792" s="57"/>
      <c r="C792" s="57"/>
      <c r="D792" s="57"/>
      <c r="E792" s="58"/>
      <c r="F792" s="57"/>
      <c r="G792" s="59"/>
      <c r="H792" s="59"/>
      <c r="I792" s="59"/>
      <c r="J792" s="59"/>
      <c r="K792" s="59"/>
      <c r="L792" s="59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</row>
    <row r="793">
      <c r="A793" s="57"/>
      <c r="B793" s="57"/>
      <c r="C793" s="57"/>
      <c r="D793" s="57"/>
      <c r="E793" s="58"/>
      <c r="F793" s="57"/>
      <c r="G793" s="59"/>
      <c r="H793" s="59"/>
      <c r="I793" s="59"/>
      <c r="J793" s="59"/>
      <c r="K793" s="59"/>
      <c r="L793" s="59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</row>
    <row r="794">
      <c r="A794" s="57"/>
      <c r="B794" s="57"/>
      <c r="C794" s="57"/>
      <c r="D794" s="57"/>
      <c r="E794" s="58"/>
      <c r="F794" s="57"/>
      <c r="G794" s="59"/>
      <c r="H794" s="59"/>
      <c r="I794" s="59"/>
      <c r="J794" s="59"/>
      <c r="K794" s="59"/>
      <c r="L794" s="59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</row>
    <row r="795">
      <c r="A795" s="57"/>
      <c r="B795" s="57"/>
      <c r="C795" s="57"/>
      <c r="D795" s="57"/>
      <c r="E795" s="58"/>
      <c r="F795" s="57"/>
      <c r="G795" s="59"/>
      <c r="H795" s="59"/>
      <c r="I795" s="59"/>
      <c r="J795" s="59"/>
      <c r="K795" s="59"/>
      <c r="L795" s="59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</row>
    <row r="796">
      <c r="A796" s="57"/>
      <c r="B796" s="57"/>
      <c r="C796" s="57"/>
      <c r="D796" s="57"/>
      <c r="E796" s="58"/>
      <c r="F796" s="57"/>
      <c r="G796" s="59"/>
      <c r="H796" s="59"/>
      <c r="I796" s="59"/>
      <c r="J796" s="59"/>
      <c r="K796" s="59"/>
      <c r="L796" s="59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</row>
    <row r="797">
      <c r="A797" s="57"/>
      <c r="B797" s="57"/>
      <c r="C797" s="57"/>
      <c r="D797" s="57"/>
      <c r="E797" s="58"/>
      <c r="F797" s="57"/>
      <c r="G797" s="59"/>
      <c r="H797" s="59"/>
      <c r="I797" s="59"/>
      <c r="J797" s="59"/>
      <c r="K797" s="59"/>
      <c r="L797" s="59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</row>
    <row r="798">
      <c r="A798" s="57"/>
      <c r="B798" s="57"/>
      <c r="C798" s="57"/>
      <c r="D798" s="57"/>
      <c r="E798" s="58"/>
      <c r="F798" s="57"/>
      <c r="G798" s="59"/>
      <c r="H798" s="59"/>
      <c r="I798" s="59"/>
      <c r="J798" s="59"/>
      <c r="K798" s="59"/>
      <c r="L798" s="59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</row>
    <row r="799">
      <c r="A799" s="57"/>
      <c r="B799" s="57"/>
      <c r="C799" s="57"/>
      <c r="D799" s="57"/>
      <c r="E799" s="58"/>
      <c r="F799" s="57"/>
      <c r="G799" s="59"/>
      <c r="H799" s="59"/>
      <c r="I799" s="59"/>
      <c r="J799" s="59"/>
      <c r="K799" s="59"/>
      <c r="L799" s="59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</row>
    <row r="800">
      <c r="A800" s="57"/>
      <c r="B800" s="57"/>
      <c r="C800" s="57"/>
      <c r="D800" s="57"/>
      <c r="E800" s="58"/>
      <c r="F800" s="57"/>
      <c r="G800" s="59"/>
      <c r="H800" s="59"/>
      <c r="I800" s="59"/>
      <c r="J800" s="59"/>
      <c r="K800" s="59"/>
      <c r="L800" s="59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</row>
    <row r="801">
      <c r="A801" s="57"/>
      <c r="B801" s="57"/>
      <c r="C801" s="57"/>
      <c r="D801" s="57"/>
      <c r="E801" s="58"/>
      <c r="F801" s="57"/>
      <c r="G801" s="59"/>
      <c r="H801" s="59"/>
      <c r="I801" s="59"/>
      <c r="J801" s="59"/>
      <c r="K801" s="59"/>
      <c r="L801" s="59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</row>
    <row r="802">
      <c r="A802" s="57"/>
      <c r="B802" s="57"/>
      <c r="C802" s="57"/>
      <c r="D802" s="57"/>
      <c r="E802" s="58"/>
      <c r="F802" s="57"/>
      <c r="G802" s="59"/>
      <c r="H802" s="59"/>
      <c r="I802" s="59"/>
      <c r="J802" s="59"/>
      <c r="K802" s="59"/>
      <c r="L802" s="59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</row>
    <row r="803">
      <c r="A803" s="57"/>
      <c r="B803" s="57"/>
      <c r="C803" s="57"/>
      <c r="D803" s="57"/>
      <c r="E803" s="58"/>
      <c r="F803" s="57"/>
      <c r="G803" s="59"/>
      <c r="H803" s="59"/>
      <c r="I803" s="59"/>
      <c r="J803" s="59"/>
      <c r="K803" s="59"/>
      <c r="L803" s="59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</row>
    <row r="804">
      <c r="A804" s="57"/>
      <c r="B804" s="57"/>
      <c r="C804" s="57"/>
      <c r="D804" s="57"/>
      <c r="E804" s="58"/>
      <c r="F804" s="57"/>
      <c r="G804" s="59"/>
      <c r="H804" s="59"/>
      <c r="I804" s="59"/>
      <c r="J804" s="59"/>
      <c r="K804" s="59"/>
      <c r="L804" s="59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</row>
    <row r="805">
      <c r="A805" s="57"/>
      <c r="B805" s="57"/>
      <c r="C805" s="57"/>
      <c r="D805" s="57"/>
      <c r="E805" s="58"/>
      <c r="F805" s="57"/>
      <c r="G805" s="59"/>
      <c r="H805" s="59"/>
      <c r="I805" s="59"/>
      <c r="J805" s="59"/>
      <c r="K805" s="59"/>
      <c r="L805" s="59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</row>
    <row r="806">
      <c r="A806" s="57"/>
      <c r="B806" s="57"/>
      <c r="C806" s="57"/>
      <c r="D806" s="57"/>
      <c r="E806" s="58"/>
      <c r="F806" s="57"/>
      <c r="G806" s="59"/>
      <c r="H806" s="59"/>
      <c r="I806" s="59"/>
      <c r="J806" s="59"/>
      <c r="K806" s="59"/>
      <c r="L806" s="59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</row>
    <row r="807">
      <c r="A807" s="57"/>
      <c r="B807" s="57"/>
      <c r="C807" s="57"/>
      <c r="D807" s="57"/>
      <c r="E807" s="58"/>
      <c r="F807" s="57"/>
      <c r="G807" s="59"/>
      <c r="H807" s="59"/>
      <c r="I807" s="59"/>
      <c r="J807" s="59"/>
      <c r="K807" s="59"/>
      <c r="L807" s="59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</row>
    <row r="808">
      <c r="A808" s="57"/>
      <c r="B808" s="57"/>
      <c r="C808" s="57"/>
      <c r="D808" s="57"/>
      <c r="E808" s="58"/>
      <c r="F808" s="57"/>
      <c r="G808" s="59"/>
      <c r="H808" s="59"/>
      <c r="I808" s="59"/>
      <c r="J808" s="59"/>
      <c r="K808" s="59"/>
      <c r="L808" s="59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</row>
    <row r="809">
      <c r="A809" s="57"/>
      <c r="B809" s="57"/>
      <c r="C809" s="57"/>
      <c r="D809" s="57"/>
      <c r="E809" s="58"/>
      <c r="F809" s="57"/>
      <c r="G809" s="59"/>
      <c r="H809" s="59"/>
      <c r="I809" s="59"/>
      <c r="J809" s="59"/>
      <c r="K809" s="59"/>
      <c r="L809" s="59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</row>
    <row r="810">
      <c r="A810" s="57"/>
      <c r="B810" s="57"/>
      <c r="C810" s="57"/>
      <c r="D810" s="57"/>
      <c r="E810" s="58"/>
      <c r="F810" s="57"/>
      <c r="G810" s="59"/>
      <c r="H810" s="59"/>
      <c r="I810" s="59"/>
      <c r="J810" s="59"/>
      <c r="K810" s="59"/>
      <c r="L810" s="59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</row>
    <row r="811">
      <c r="A811" s="57"/>
      <c r="B811" s="57"/>
      <c r="C811" s="57"/>
      <c r="D811" s="57"/>
      <c r="E811" s="58"/>
      <c r="F811" s="57"/>
      <c r="G811" s="59"/>
      <c r="H811" s="59"/>
      <c r="I811" s="59"/>
      <c r="J811" s="59"/>
      <c r="K811" s="59"/>
      <c r="L811" s="59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</row>
    <row r="812">
      <c r="A812" s="57"/>
      <c r="B812" s="57"/>
      <c r="C812" s="57"/>
      <c r="D812" s="57"/>
      <c r="E812" s="58"/>
      <c r="F812" s="57"/>
      <c r="G812" s="59"/>
      <c r="H812" s="59"/>
      <c r="I812" s="59"/>
      <c r="J812" s="59"/>
      <c r="K812" s="59"/>
      <c r="L812" s="59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</row>
    <row r="813">
      <c r="A813" s="57"/>
      <c r="B813" s="57"/>
      <c r="C813" s="57"/>
      <c r="D813" s="57"/>
      <c r="E813" s="58"/>
      <c r="F813" s="57"/>
      <c r="G813" s="59"/>
      <c r="H813" s="59"/>
      <c r="I813" s="59"/>
      <c r="J813" s="59"/>
      <c r="K813" s="59"/>
      <c r="L813" s="59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</row>
    <row r="814">
      <c r="A814" s="57"/>
      <c r="B814" s="57"/>
      <c r="C814" s="57"/>
      <c r="D814" s="57"/>
      <c r="E814" s="58"/>
      <c r="F814" s="57"/>
      <c r="G814" s="59"/>
      <c r="H814" s="59"/>
      <c r="I814" s="59"/>
      <c r="J814" s="59"/>
      <c r="K814" s="59"/>
      <c r="L814" s="59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</row>
    <row r="815">
      <c r="A815" s="57"/>
      <c r="B815" s="57"/>
      <c r="C815" s="57"/>
      <c r="D815" s="57"/>
      <c r="E815" s="58"/>
      <c r="F815" s="57"/>
      <c r="G815" s="59"/>
      <c r="H815" s="59"/>
      <c r="I815" s="59"/>
      <c r="J815" s="59"/>
      <c r="K815" s="59"/>
      <c r="L815" s="59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</row>
    <row r="816">
      <c r="A816" s="57"/>
      <c r="B816" s="57"/>
      <c r="C816" s="57"/>
      <c r="D816" s="57"/>
      <c r="E816" s="58"/>
      <c r="F816" s="57"/>
      <c r="G816" s="59"/>
      <c r="H816" s="59"/>
      <c r="I816" s="59"/>
      <c r="J816" s="59"/>
      <c r="K816" s="59"/>
      <c r="L816" s="59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</row>
    <row r="817">
      <c r="A817" s="57"/>
      <c r="B817" s="57"/>
      <c r="C817" s="57"/>
      <c r="D817" s="57"/>
      <c r="E817" s="58"/>
      <c r="F817" s="57"/>
      <c r="G817" s="59"/>
      <c r="H817" s="59"/>
      <c r="I817" s="59"/>
      <c r="J817" s="59"/>
      <c r="K817" s="59"/>
      <c r="L817" s="59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</row>
    <row r="818">
      <c r="A818" s="57"/>
      <c r="B818" s="57"/>
      <c r="C818" s="57"/>
      <c r="D818" s="57"/>
      <c r="E818" s="58"/>
      <c r="F818" s="57"/>
      <c r="G818" s="59"/>
      <c r="H818" s="59"/>
      <c r="I818" s="59"/>
      <c r="J818" s="59"/>
      <c r="K818" s="59"/>
      <c r="L818" s="59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</row>
    <row r="819">
      <c r="A819" s="57"/>
      <c r="B819" s="57"/>
      <c r="C819" s="57"/>
      <c r="D819" s="57"/>
      <c r="E819" s="58"/>
      <c r="F819" s="57"/>
      <c r="G819" s="59"/>
      <c r="H819" s="59"/>
      <c r="I819" s="59"/>
      <c r="J819" s="59"/>
      <c r="K819" s="59"/>
      <c r="L819" s="59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</row>
    <row r="820">
      <c r="A820" s="57"/>
      <c r="B820" s="57"/>
      <c r="C820" s="57"/>
      <c r="D820" s="57"/>
      <c r="E820" s="58"/>
      <c r="F820" s="57"/>
      <c r="G820" s="59"/>
      <c r="H820" s="59"/>
      <c r="I820" s="59"/>
      <c r="J820" s="59"/>
      <c r="K820" s="59"/>
      <c r="L820" s="59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</row>
    <row r="821">
      <c r="A821" s="57"/>
      <c r="B821" s="57"/>
      <c r="C821" s="57"/>
      <c r="D821" s="57"/>
      <c r="E821" s="58"/>
      <c r="F821" s="57"/>
      <c r="G821" s="59"/>
      <c r="H821" s="59"/>
      <c r="I821" s="59"/>
      <c r="J821" s="59"/>
      <c r="K821" s="59"/>
      <c r="L821" s="59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</row>
    <row r="822">
      <c r="A822" s="57"/>
      <c r="B822" s="57"/>
      <c r="C822" s="57"/>
      <c r="D822" s="57"/>
      <c r="E822" s="58"/>
      <c r="F822" s="57"/>
      <c r="G822" s="59"/>
      <c r="H822" s="59"/>
      <c r="I822" s="59"/>
      <c r="J822" s="59"/>
      <c r="K822" s="59"/>
      <c r="L822" s="59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</row>
    <row r="823">
      <c r="A823" s="57"/>
      <c r="B823" s="57"/>
      <c r="C823" s="57"/>
      <c r="D823" s="57"/>
      <c r="E823" s="58"/>
      <c r="F823" s="57"/>
      <c r="G823" s="59"/>
      <c r="H823" s="59"/>
      <c r="I823" s="59"/>
      <c r="J823" s="59"/>
      <c r="K823" s="59"/>
      <c r="L823" s="59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</row>
    <row r="824">
      <c r="A824" s="57"/>
      <c r="B824" s="57"/>
      <c r="C824" s="57"/>
      <c r="D824" s="57"/>
      <c r="E824" s="58"/>
      <c r="F824" s="57"/>
      <c r="G824" s="59"/>
      <c r="H824" s="59"/>
      <c r="I824" s="59"/>
      <c r="J824" s="59"/>
      <c r="K824" s="59"/>
      <c r="L824" s="59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</row>
    <row r="825">
      <c r="A825" s="57"/>
      <c r="B825" s="57"/>
      <c r="C825" s="57"/>
      <c r="D825" s="57"/>
      <c r="E825" s="58"/>
      <c r="F825" s="57"/>
      <c r="G825" s="59"/>
      <c r="H825" s="59"/>
      <c r="I825" s="59"/>
      <c r="J825" s="59"/>
      <c r="K825" s="59"/>
      <c r="L825" s="59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</row>
    <row r="826">
      <c r="A826" s="57"/>
      <c r="B826" s="57"/>
      <c r="C826" s="57"/>
      <c r="D826" s="57"/>
      <c r="E826" s="58"/>
      <c r="F826" s="57"/>
      <c r="G826" s="59"/>
      <c r="H826" s="59"/>
      <c r="I826" s="59"/>
      <c r="J826" s="59"/>
      <c r="K826" s="59"/>
      <c r="L826" s="59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</row>
    <row r="827">
      <c r="A827" s="57"/>
      <c r="B827" s="57"/>
      <c r="C827" s="57"/>
      <c r="D827" s="57"/>
      <c r="E827" s="58"/>
      <c r="F827" s="57"/>
      <c r="G827" s="59"/>
      <c r="H827" s="59"/>
      <c r="I827" s="59"/>
      <c r="J827" s="59"/>
      <c r="K827" s="59"/>
      <c r="L827" s="59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</row>
    <row r="828">
      <c r="A828" s="57"/>
      <c r="B828" s="57"/>
      <c r="C828" s="57"/>
      <c r="D828" s="57"/>
      <c r="E828" s="58"/>
      <c r="F828" s="57"/>
      <c r="G828" s="59"/>
      <c r="H828" s="59"/>
      <c r="I828" s="59"/>
      <c r="J828" s="59"/>
      <c r="K828" s="59"/>
      <c r="L828" s="59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</row>
    <row r="829">
      <c r="A829" s="57"/>
      <c r="B829" s="57"/>
      <c r="C829" s="57"/>
      <c r="D829" s="57"/>
      <c r="E829" s="58"/>
      <c r="F829" s="57"/>
      <c r="G829" s="59"/>
      <c r="H829" s="59"/>
      <c r="I829" s="59"/>
      <c r="J829" s="59"/>
      <c r="K829" s="59"/>
      <c r="L829" s="59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</row>
    <row r="830">
      <c r="A830" s="57"/>
      <c r="B830" s="57"/>
      <c r="C830" s="57"/>
      <c r="D830" s="57"/>
      <c r="E830" s="58"/>
      <c r="F830" s="57"/>
      <c r="G830" s="59"/>
      <c r="H830" s="59"/>
      <c r="I830" s="59"/>
      <c r="J830" s="59"/>
      <c r="K830" s="59"/>
      <c r="L830" s="59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</row>
    <row r="831">
      <c r="A831" s="57"/>
      <c r="B831" s="57"/>
      <c r="C831" s="57"/>
      <c r="D831" s="57"/>
      <c r="E831" s="58"/>
      <c r="F831" s="57"/>
      <c r="G831" s="59"/>
      <c r="H831" s="59"/>
      <c r="I831" s="59"/>
      <c r="J831" s="59"/>
      <c r="K831" s="59"/>
      <c r="L831" s="59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</row>
    <row r="832">
      <c r="A832" s="57"/>
      <c r="B832" s="57"/>
      <c r="C832" s="57"/>
      <c r="D832" s="57"/>
      <c r="E832" s="58"/>
      <c r="F832" s="57"/>
      <c r="G832" s="59"/>
      <c r="H832" s="59"/>
      <c r="I832" s="59"/>
      <c r="J832" s="59"/>
      <c r="K832" s="59"/>
      <c r="L832" s="59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</row>
    <row r="833">
      <c r="A833" s="57"/>
      <c r="B833" s="57"/>
      <c r="C833" s="57"/>
      <c r="D833" s="57"/>
      <c r="E833" s="58"/>
      <c r="F833" s="57"/>
      <c r="G833" s="59"/>
      <c r="H833" s="59"/>
      <c r="I833" s="59"/>
      <c r="J833" s="59"/>
      <c r="K833" s="59"/>
      <c r="L833" s="59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</row>
    <row r="834">
      <c r="A834" s="57"/>
      <c r="B834" s="57"/>
      <c r="C834" s="57"/>
      <c r="D834" s="57"/>
      <c r="E834" s="58"/>
      <c r="F834" s="57"/>
      <c r="G834" s="59"/>
      <c r="H834" s="59"/>
      <c r="I834" s="59"/>
      <c r="J834" s="59"/>
      <c r="K834" s="59"/>
      <c r="L834" s="59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</row>
    <row r="835">
      <c r="A835" s="57"/>
      <c r="B835" s="57"/>
      <c r="C835" s="57"/>
      <c r="D835" s="57"/>
      <c r="E835" s="58"/>
      <c r="F835" s="57"/>
      <c r="G835" s="59"/>
      <c r="H835" s="59"/>
      <c r="I835" s="59"/>
      <c r="J835" s="59"/>
      <c r="K835" s="59"/>
      <c r="L835" s="59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</row>
    <row r="836">
      <c r="A836" s="57"/>
      <c r="B836" s="57"/>
      <c r="C836" s="57"/>
      <c r="D836" s="57"/>
      <c r="E836" s="58"/>
      <c r="F836" s="57"/>
      <c r="G836" s="59"/>
      <c r="H836" s="59"/>
      <c r="I836" s="59"/>
      <c r="J836" s="59"/>
      <c r="K836" s="59"/>
      <c r="L836" s="59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</row>
    <row r="837">
      <c r="A837" s="57"/>
      <c r="B837" s="57"/>
      <c r="C837" s="57"/>
      <c r="D837" s="57"/>
      <c r="E837" s="58"/>
      <c r="F837" s="57"/>
      <c r="G837" s="59"/>
      <c r="H837" s="59"/>
      <c r="I837" s="59"/>
      <c r="J837" s="59"/>
      <c r="K837" s="59"/>
      <c r="L837" s="59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</row>
    <row r="838">
      <c r="A838" s="57"/>
      <c r="B838" s="57"/>
      <c r="C838" s="57"/>
      <c r="D838" s="57"/>
      <c r="E838" s="58"/>
      <c r="F838" s="57"/>
      <c r="G838" s="59"/>
      <c r="H838" s="59"/>
      <c r="I838" s="59"/>
      <c r="J838" s="59"/>
      <c r="K838" s="59"/>
      <c r="L838" s="59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</row>
    <row r="839">
      <c r="A839" s="57"/>
      <c r="B839" s="57"/>
      <c r="C839" s="57"/>
      <c r="D839" s="57"/>
      <c r="E839" s="58"/>
      <c r="F839" s="57"/>
      <c r="G839" s="59"/>
      <c r="H839" s="59"/>
      <c r="I839" s="59"/>
      <c r="J839" s="59"/>
      <c r="K839" s="59"/>
      <c r="L839" s="59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</row>
    <row r="840">
      <c r="A840" s="57"/>
      <c r="B840" s="57"/>
      <c r="C840" s="57"/>
      <c r="D840" s="57"/>
      <c r="E840" s="58"/>
      <c r="F840" s="57"/>
      <c r="G840" s="59"/>
      <c r="H840" s="59"/>
      <c r="I840" s="59"/>
      <c r="J840" s="59"/>
      <c r="K840" s="59"/>
      <c r="L840" s="59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</row>
    <row r="841">
      <c r="A841" s="57"/>
      <c r="B841" s="57"/>
      <c r="C841" s="57"/>
      <c r="D841" s="57"/>
      <c r="E841" s="58"/>
      <c r="F841" s="57"/>
      <c r="G841" s="59"/>
      <c r="H841" s="59"/>
      <c r="I841" s="59"/>
      <c r="J841" s="59"/>
      <c r="K841" s="59"/>
      <c r="L841" s="59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</row>
    <row r="842">
      <c r="A842" s="57"/>
      <c r="B842" s="57"/>
      <c r="C842" s="57"/>
      <c r="D842" s="57"/>
      <c r="E842" s="58"/>
      <c r="F842" s="57"/>
      <c r="G842" s="59"/>
      <c r="H842" s="59"/>
      <c r="I842" s="59"/>
      <c r="J842" s="59"/>
      <c r="K842" s="59"/>
      <c r="L842" s="59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</row>
    <row r="843">
      <c r="A843" s="57"/>
      <c r="B843" s="57"/>
      <c r="C843" s="57"/>
      <c r="D843" s="57"/>
      <c r="E843" s="58"/>
      <c r="F843" s="57"/>
      <c r="G843" s="59"/>
      <c r="H843" s="59"/>
      <c r="I843" s="59"/>
      <c r="J843" s="59"/>
      <c r="K843" s="59"/>
      <c r="L843" s="59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</row>
    <row r="844">
      <c r="A844" s="57"/>
      <c r="B844" s="57"/>
      <c r="C844" s="57"/>
      <c r="D844" s="57"/>
      <c r="E844" s="58"/>
      <c r="F844" s="57"/>
      <c r="G844" s="59"/>
      <c r="H844" s="59"/>
      <c r="I844" s="59"/>
      <c r="J844" s="59"/>
      <c r="K844" s="59"/>
      <c r="L844" s="59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</row>
    <row r="845">
      <c r="A845" s="57"/>
      <c r="B845" s="57"/>
      <c r="C845" s="57"/>
      <c r="D845" s="57"/>
      <c r="E845" s="58"/>
      <c r="F845" s="57"/>
      <c r="G845" s="59"/>
      <c r="H845" s="59"/>
      <c r="I845" s="59"/>
      <c r="J845" s="59"/>
      <c r="K845" s="59"/>
      <c r="L845" s="59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</row>
    <row r="846">
      <c r="A846" s="57"/>
      <c r="B846" s="57"/>
      <c r="C846" s="57"/>
      <c r="D846" s="57"/>
      <c r="E846" s="58"/>
      <c r="F846" s="57"/>
      <c r="G846" s="59"/>
      <c r="H846" s="59"/>
      <c r="I846" s="59"/>
      <c r="J846" s="59"/>
      <c r="K846" s="59"/>
      <c r="L846" s="59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</row>
    <row r="847">
      <c r="A847" s="57"/>
      <c r="B847" s="57"/>
      <c r="C847" s="57"/>
      <c r="D847" s="57"/>
      <c r="E847" s="58"/>
      <c r="F847" s="57"/>
      <c r="G847" s="59"/>
      <c r="H847" s="59"/>
      <c r="I847" s="59"/>
      <c r="J847" s="59"/>
      <c r="K847" s="59"/>
      <c r="L847" s="59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</row>
    <row r="848">
      <c r="A848" s="57"/>
      <c r="B848" s="57"/>
      <c r="C848" s="57"/>
      <c r="D848" s="57"/>
      <c r="E848" s="58"/>
      <c r="F848" s="57"/>
      <c r="G848" s="59"/>
      <c r="H848" s="59"/>
      <c r="I848" s="59"/>
      <c r="J848" s="59"/>
      <c r="K848" s="59"/>
      <c r="L848" s="59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</row>
    <row r="849">
      <c r="A849" s="57"/>
      <c r="B849" s="57"/>
      <c r="C849" s="57"/>
      <c r="D849" s="57"/>
      <c r="E849" s="58"/>
      <c r="F849" s="57"/>
      <c r="G849" s="59"/>
      <c r="H849" s="59"/>
      <c r="I849" s="59"/>
      <c r="J849" s="59"/>
      <c r="K849" s="59"/>
      <c r="L849" s="59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</row>
    <row r="850">
      <c r="A850" s="57"/>
      <c r="B850" s="57"/>
      <c r="C850" s="57"/>
      <c r="D850" s="57"/>
      <c r="E850" s="58"/>
      <c r="F850" s="57"/>
      <c r="G850" s="59"/>
      <c r="H850" s="59"/>
      <c r="I850" s="59"/>
      <c r="J850" s="59"/>
      <c r="K850" s="59"/>
      <c r="L850" s="59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</row>
    <row r="851">
      <c r="A851" s="57"/>
      <c r="B851" s="57"/>
      <c r="C851" s="57"/>
      <c r="D851" s="57"/>
      <c r="E851" s="58"/>
      <c r="F851" s="57"/>
      <c r="G851" s="59"/>
      <c r="H851" s="59"/>
      <c r="I851" s="59"/>
      <c r="J851" s="59"/>
      <c r="K851" s="59"/>
      <c r="L851" s="59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</row>
    <row r="852">
      <c r="A852" s="57"/>
      <c r="B852" s="57"/>
      <c r="C852" s="57"/>
      <c r="D852" s="57"/>
      <c r="E852" s="58"/>
      <c r="F852" s="57"/>
      <c r="G852" s="59"/>
      <c r="H852" s="59"/>
      <c r="I852" s="59"/>
      <c r="J852" s="59"/>
      <c r="K852" s="59"/>
      <c r="L852" s="59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</row>
    <row r="853">
      <c r="A853" s="57"/>
      <c r="B853" s="57"/>
      <c r="C853" s="57"/>
      <c r="D853" s="57"/>
      <c r="E853" s="58"/>
      <c r="F853" s="57"/>
      <c r="G853" s="59"/>
      <c r="H853" s="59"/>
      <c r="I853" s="59"/>
      <c r="J853" s="59"/>
      <c r="K853" s="59"/>
      <c r="L853" s="59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</row>
    <row r="854">
      <c r="A854" s="57"/>
      <c r="B854" s="57"/>
      <c r="C854" s="57"/>
      <c r="D854" s="57"/>
      <c r="E854" s="58"/>
      <c r="F854" s="57"/>
      <c r="G854" s="59"/>
      <c r="H854" s="59"/>
      <c r="I854" s="59"/>
      <c r="J854" s="59"/>
      <c r="K854" s="59"/>
      <c r="L854" s="59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</row>
    <row r="855">
      <c r="A855" s="57"/>
      <c r="B855" s="57"/>
      <c r="C855" s="57"/>
      <c r="D855" s="57"/>
      <c r="E855" s="58"/>
      <c r="F855" s="57"/>
      <c r="G855" s="59"/>
      <c r="H855" s="59"/>
      <c r="I855" s="59"/>
      <c r="J855" s="59"/>
      <c r="K855" s="59"/>
      <c r="L855" s="59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</row>
    <row r="856">
      <c r="A856" s="57"/>
      <c r="B856" s="57"/>
      <c r="C856" s="57"/>
      <c r="D856" s="57"/>
      <c r="E856" s="58"/>
      <c r="F856" s="57"/>
      <c r="G856" s="59"/>
      <c r="H856" s="59"/>
      <c r="I856" s="59"/>
      <c r="J856" s="59"/>
      <c r="K856" s="59"/>
      <c r="L856" s="59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</row>
    <row r="857">
      <c r="A857" s="57"/>
      <c r="B857" s="57"/>
      <c r="C857" s="57"/>
      <c r="D857" s="57"/>
      <c r="E857" s="58"/>
      <c r="F857" s="57"/>
      <c r="G857" s="59"/>
      <c r="H857" s="59"/>
      <c r="I857" s="59"/>
      <c r="J857" s="59"/>
      <c r="K857" s="59"/>
      <c r="L857" s="59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</row>
    <row r="858">
      <c r="A858" s="57"/>
      <c r="B858" s="57"/>
      <c r="C858" s="57"/>
      <c r="D858" s="57"/>
      <c r="E858" s="58"/>
      <c r="F858" s="57"/>
      <c r="G858" s="59"/>
      <c r="H858" s="59"/>
      <c r="I858" s="59"/>
      <c r="J858" s="59"/>
      <c r="K858" s="59"/>
      <c r="L858" s="59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</row>
    <row r="859">
      <c r="A859" s="57"/>
      <c r="B859" s="57"/>
      <c r="C859" s="57"/>
      <c r="D859" s="57"/>
      <c r="E859" s="58"/>
      <c r="F859" s="57"/>
      <c r="G859" s="59"/>
      <c r="H859" s="59"/>
      <c r="I859" s="59"/>
      <c r="J859" s="59"/>
      <c r="K859" s="59"/>
      <c r="L859" s="59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</row>
    <row r="860">
      <c r="A860" s="57"/>
      <c r="B860" s="57"/>
      <c r="C860" s="57"/>
      <c r="D860" s="57"/>
      <c r="E860" s="58"/>
      <c r="F860" s="57"/>
      <c r="G860" s="59"/>
      <c r="H860" s="59"/>
      <c r="I860" s="59"/>
      <c r="J860" s="59"/>
      <c r="K860" s="59"/>
      <c r="L860" s="59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</row>
    <row r="861">
      <c r="A861" s="57"/>
      <c r="B861" s="57"/>
      <c r="C861" s="57"/>
      <c r="D861" s="57"/>
      <c r="E861" s="58"/>
      <c r="F861" s="57"/>
      <c r="G861" s="59"/>
      <c r="H861" s="59"/>
      <c r="I861" s="59"/>
      <c r="J861" s="59"/>
      <c r="K861" s="59"/>
      <c r="L861" s="59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</row>
    <row r="862">
      <c r="A862" s="57"/>
      <c r="B862" s="57"/>
      <c r="C862" s="57"/>
      <c r="D862" s="57"/>
      <c r="E862" s="58"/>
      <c r="F862" s="57"/>
      <c r="G862" s="59"/>
      <c r="H862" s="59"/>
      <c r="I862" s="59"/>
      <c r="J862" s="59"/>
      <c r="K862" s="59"/>
      <c r="L862" s="59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</row>
    <row r="863">
      <c r="A863" s="57"/>
      <c r="B863" s="57"/>
      <c r="C863" s="57"/>
      <c r="D863" s="57"/>
      <c r="E863" s="58"/>
      <c r="F863" s="57"/>
      <c r="G863" s="59"/>
      <c r="H863" s="59"/>
      <c r="I863" s="59"/>
      <c r="J863" s="59"/>
      <c r="K863" s="59"/>
      <c r="L863" s="59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</row>
    <row r="864">
      <c r="A864" s="57"/>
      <c r="B864" s="57"/>
      <c r="C864" s="57"/>
      <c r="D864" s="57"/>
      <c r="E864" s="58"/>
      <c r="F864" s="57"/>
      <c r="G864" s="59"/>
      <c r="H864" s="59"/>
      <c r="I864" s="59"/>
      <c r="J864" s="59"/>
      <c r="K864" s="59"/>
      <c r="L864" s="59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</row>
    <row r="865">
      <c r="A865" s="57"/>
      <c r="B865" s="57"/>
      <c r="C865" s="57"/>
      <c r="D865" s="57"/>
      <c r="E865" s="58"/>
      <c r="F865" s="57"/>
      <c r="G865" s="59"/>
      <c r="H865" s="59"/>
      <c r="I865" s="59"/>
      <c r="J865" s="59"/>
      <c r="K865" s="59"/>
      <c r="L865" s="59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</row>
    <row r="866">
      <c r="A866" s="57"/>
      <c r="B866" s="57"/>
      <c r="C866" s="57"/>
      <c r="D866" s="57"/>
      <c r="E866" s="58"/>
      <c r="F866" s="57"/>
      <c r="G866" s="59"/>
      <c r="H866" s="59"/>
      <c r="I866" s="59"/>
      <c r="J866" s="59"/>
      <c r="K866" s="59"/>
      <c r="L866" s="59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</row>
    <row r="867">
      <c r="A867" s="57"/>
      <c r="B867" s="57"/>
      <c r="C867" s="57"/>
      <c r="D867" s="57"/>
      <c r="E867" s="58"/>
      <c r="F867" s="57"/>
      <c r="G867" s="59"/>
      <c r="H867" s="59"/>
      <c r="I867" s="59"/>
      <c r="J867" s="59"/>
      <c r="K867" s="59"/>
      <c r="L867" s="59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</row>
    <row r="868">
      <c r="A868" s="57"/>
      <c r="B868" s="57"/>
      <c r="C868" s="57"/>
      <c r="D868" s="57"/>
      <c r="E868" s="58"/>
      <c r="F868" s="57"/>
      <c r="G868" s="59"/>
      <c r="H868" s="59"/>
      <c r="I868" s="59"/>
      <c r="J868" s="59"/>
      <c r="K868" s="59"/>
      <c r="L868" s="59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</row>
    <row r="869">
      <c r="A869" s="57"/>
      <c r="B869" s="57"/>
      <c r="C869" s="57"/>
      <c r="D869" s="57"/>
      <c r="E869" s="58"/>
      <c r="F869" s="57"/>
      <c r="G869" s="59"/>
      <c r="H869" s="59"/>
      <c r="I869" s="59"/>
      <c r="J869" s="59"/>
      <c r="K869" s="59"/>
      <c r="L869" s="59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</row>
    <row r="870">
      <c r="A870" s="57"/>
      <c r="B870" s="57"/>
      <c r="C870" s="57"/>
      <c r="D870" s="57"/>
      <c r="E870" s="58"/>
      <c r="F870" s="57"/>
      <c r="G870" s="59"/>
      <c r="H870" s="59"/>
      <c r="I870" s="59"/>
      <c r="J870" s="59"/>
      <c r="K870" s="59"/>
      <c r="L870" s="59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</row>
    <row r="871">
      <c r="A871" s="57"/>
      <c r="B871" s="57"/>
      <c r="C871" s="57"/>
      <c r="D871" s="57"/>
      <c r="E871" s="58"/>
      <c r="F871" s="57"/>
      <c r="G871" s="59"/>
      <c r="H871" s="59"/>
      <c r="I871" s="59"/>
      <c r="J871" s="59"/>
      <c r="K871" s="59"/>
      <c r="L871" s="59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</row>
    <row r="872">
      <c r="A872" s="57"/>
      <c r="B872" s="57"/>
      <c r="C872" s="57"/>
      <c r="D872" s="57"/>
      <c r="E872" s="58"/>
      <c r="F872" s="57"/>
      <c r="G872" s="59"/>
      <c r="H872" s="59"/>
      <c r="I872" s="59"/>
      <c r="J872" s="59"/>
      <c r="K872" s="59"/>
      <c r="L872" s="59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</row>
    <row r="873">
      <c r="A873" s="57"/>
      <c r="B873" s="57"/>
      <c r="C873" s="57"/>
      <c r="D873" s="57"/>
      <c r="E873" s="58"/>
      <c r="F873" s="57"/>
      <c r="G873" s="59"/>
      <c r="H873" s="59"/>
      <c r="I873" s="59"/>
      <c r="J873" s="59"/>
      <c r="K873" s="59"/>
      <c r="L873" s="59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</row>
    <row r="874">
      <c r="A874" s="57"/>
      <c r="B874" s="57"/>
      <c r="C874" s="57"/>
      <c r="D874" s="57"/>
      <c r="E874" s="58"/>
      <c r="F874" s="57"/>
      <c r="G874" s="59"/>
      <c r="H874" s="59"/>
      <c r="I874" s="59"/>
      <c r="J874" s="59"/>
      <c r="K874" s="59"/>
      <c r="L874" s="59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</row>
    <row r="875">
      <c r="A875" s="57"/>
      <c r="B875" s="57"/>
      <c r="C875" s="57"/>
      <c r="D875" s="57"/>
      <c r="E875" s="58"/>
      <c r="F875" s="57"/>
      <c r="G875" s="59"/>
      <c r="H875" s="59"/>
      <c r="I875" s="59"/>
      <c r="J875" s="59"/>
      <c r="K875" s="59"/>
      <c r="L875" s="59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</row>
    <row r="876">
      <c r="A876" s="57"/>
      <c r="B876" s="57"/>
      <c r="C876" s="57"/>
      <c r="D876" s="57"/>
      <c r="E876" s="58"/>
      <c r="F876" s="57"/>
      <c r="G876" s="59"/>
      <c r="H876" s="59"/>
      <c r="I876" s="59"/>
      <c r="J876" s="59"/>
      <c r="K876" s="59"/>
      <c r="L876" s="59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</row>
    <row r="877">
      <c r="A877" s="57"/>
      <c r="B877" s="57"/>
      <c r="C877" s="57"/>
      <c r="D877" s="57"/>
      <c r="E877" s="58"/>
      <c r="F877" s="57"/>
      <c r="G877" s="59"/>
      <c r="H877" s="59"/>
      <c r="I877" s="59"/>
      <c r="J877" s="59"/>
      <c r="K877" s="59"/>
      <c r="L877" s="59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</row>
    <row r="878">
      <c r="A878" s="57"/>
      <c r="B878" s="57"/>
      <c r="C878" s="57"/>
      <c r="D878" s="57"/>
      <c r="E878" s="58"/>
      <c r="F878" s="57"/>
      <c r="G878" s="59"/>
      <c r="H878" s="59"/>
      <c r="I878" s="59"/>
      <c r="J878" s="59"/>
      <c r="K878" s="59"/>
      <c r="L878" s="59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</row>
    <row r="879">
      <c r="A879" s="57"/>
      <c r="B879" s="57"/>
      <c r="C879" s="57"/>
      <c r="D879" s="57"/>
      <c r="E879" s="58"/>
      <c r="F879" s="57"/>
      <c r="G879" s="59"/>
      <c r="H879" s="59"/>
      <c r="I879" s="59"/>
      <c r="J879" s="59"/>
      <c r="K879" s="59"/>
      <c r="L879" s="59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</row>
    <row r="880">
      <c r="A880" s="57"/>
      <c r="B880" s="57"/>
      <c r="C880" s="57"/>
      <c r="D880" s="57"/>
      <c r="E880" s="58"/>
      <c r="F880" s="57"/>
      <c r="G880" s="59"/>
      <c r="H880" s="59"/>
      <c r="I880" s="59"/>
      <c r="J880" s="59"/>
      <c r="K880" s="59"/>
      <c r="L880" s="59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</row>
    <row r="881">
      <c r="A881" s="57"/>
      <c r="B881" s="57"/>
      <c r="C881" s="57"/>
      <c r="D881" s="57"/>
      <c r="E881" s="58"/>
      <c r="F881" s="57"/>
      <c r="G881" s="59"/>
      <c r="H881" s="59"/>
      <c r="I881" s="59"/>
      <c r="J881" s="59"/>
      <c r="K881" s="59"/>
      <c r="L881" s="59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</row>
    <row r="882">
      <c r="A882" s="57"/>
      <c r="B882" s="57"/>
      <c r="C882" s="57"/>
      <c r="D882" s="57"/>
      <c r="E882" s="58"/>
      <c r="F882" s="57"/>
      <c r="G882" s="59"/>
      <c r="H882" s="59"/>
      <c r="I882" s="59"/>
      <c r="J882" s="59"/>
      <c r="K882" s="59"/>
      <c r="L882" s="59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</row>
    <row r="883">
      <c r="A883" s="57"/>
      <c r="B883" s="57"/>
      <c r="C883" s="57"/>
      <c r="D883" s="57"/>
      <c r="E883" s="58"/>
      <c r="F883" s="57"/>
      <c r="G883" s="59"/>
      <c r="H883" s="59"/>
      <c r="I883" s="59"/>
      <c r="J883" s="59"/>
      <c r="K883" s="59"/>
      <c r="L883" s="59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</row>
    <row r="884">
      <c r="A884" s="57"/>
      <c r="B884" s="57"/>
      <c r="C884" s="57"/>
      <c r="D884" s="57"/>
      <c r="E884" s="58"/>
      <c r="F884" s="57"/>
      <c r="G884" s="59"/>
      <c r="H884" s="59"/>
      <c r="I884" s="59"/>
      <c r="J884" s="59"/>
      <c r="K884" s="59"/>
      <c r="L884" s="59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</row>
    <row r="885">
      <c r="A885" s="57"/>
      <c r="B885" s="57"/>
      <c r="C885" s="57"/>
      <c r="D885" s="57"/>
      <c r="E885" s="58"/>
      <c r="F885" s="57"/>
      <c r="G885" s="59"/>
      <c r="H885" s="59"/>
      <c r="I885" s="59"/>
      <c r="J885" s="59"/>
      <c r="K885" s="59"/>
      <c r="L885" s="59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</row>
    <row r="886">
      <c r="A886" s="57"/>
      <c r="B886" s="57"/>
      <c r="C886" s="57"/>
      <c r="D886" s="57"/>
      <c r="E886" s="58"/>
      <c r="F886" s="57"/>
      <c r="G886" s="59"/>
      <c r="H886" s="59"/>
      <c r="I886" s="59"/>
      <c r="J886" s="59"/>
      <c r="K886" s="59"/>
      <c r="L886" s="59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</row>
    <row r="887">
      <c r="A887" s="57"/>
      <c r="B887" s="57"/>
      <c r="C887" s="57"/>
      <c r="D887" s="57"/>
      <c r="E887" s="58"/>
      <c r="F887" s="57"/>
      <c r="G887" s="59"/>
      <c r="H887" s="59"/>
      <c r="I887" s="59"/>
      <c r="J887" s="59"/>
      <c r="K887" s="59"/>
      <c r="L887" s="59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</row>
    <row r="888">
      <c r="A888" s="57"/>
      <c r="B888" s="57"/>
      <c r="C888" s="57"/>
      <c r="D888" s="57"/>
      <c r="E888" s="58"/>
      <c r="F888" s="57"/>
      <c r="G888" s="59"/>
      <c r="H888" s="59"/>
      <c r="I888" s="59"/>
      <c r="J888" s="59"/>
      <c r="K888" s="59"/>
      <c r="L888" s="59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</row>
    <row r="889">
      <c r="A889" s="57"/>
      <c r="B889" s="57"/>
      <c r="C889" s="57"/>
      <c r="D889" s="57"/>
      <c r="E889" s="58"/>
      <c r="F889" s="57"/>
      <c r="G889" s="59"/>
      <c r="H889" s="59"/>
      <c r="I889" s="59"/>
      <c r="J889" s="59"/>
      <c r="K889" s="59"/>
      <c r="L889" s="59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</row>
    <row r="890">
      <c r="A890" s="57"/>
      <c r="B890" s="57"/>
      <c r="C890" s="57"/>
      <c r="D890" s="57"/>
      <c r="E890" s="58"/>
      <c r="F890" s="57"/>
      <c r="G890" s="59"/>
      <c r="H890" s="59"/>
      <c r="I890" s="59"/>
      <c r="J890" s="59"/>
      <c r="K890" s="59"/>
      <c r="L890" s="59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</row>
    <row r="891">
      <c r="A891" s="57"/>
      <c r="B891" s="57"/>
      <c r="C891" s="57"/>
      <c r="D891" s="57"/>
      <c r="E891" s="58"/>
      <c r="F891" s="57"/>
      <c r="G891" s="59"/>
      <c r="H891" s="59"/>
      <c r="I891" s="59"/>
      <c r="J891" s="59"/>
      <c r="K891" s="59"/>
      <c r="L891" s="59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</row>
    <row r="892">
      <c r="A892" s="57"/>
      <c r="B892" s="57"/>
      <c r="C892" s="57"/>
      <c r="D892" s="57"/>
      <c r="E892" s="58"/>
      <c r="F892" s="57"/>
      <c r="G892" s="59"/>
      <c r="H892" s="59"/>
      <c r="I892" s="59"/>
      <c r="J892" s="59"/>
      <c r="K892" s="59"/>
      <c r="L892" s="59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</row>
    <row r="893">
      <c r="A893" s="57"/>
      <c r="B893" s="57"/>
      <c r="C893" s="57"/>
      <c r="D893" s="57"/>
      <c r="E893" s="58"/>
      <c r="F893" s="57"/>
      <c r="G893" s="59"/>
      <c r="H893" s="59"/>
      <c r="I893" s="59"/>
      <c r="J893" s="59"/>
      <c r="K893" s="59"/>
      <c r="L893" s="59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</row>
    <row r="894">
      <c r="A894" s="57"/>
      <c r="B894" s="57"/>
      <c r="C894" s="57"/>
      <c r="D894" s="57"/>
      <c r="E894" s="58"/>
      <c r="F894" s="57"/>
      <c r="G894" s="59"/>
      <c r="H894" s="59"/>
      <c r="I894" s="59"/>
      <c r="J894" s="59"/>
      <c r="K894" s="59"/>
      <c r="L894" s="59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</row>
    <row r="895">
      <c r="A895" s="57"/>
      <c r="B895" s="57"/>
      <c r="C895" s="57"/>
      <c r="D895" s="57"/>
      <c r="E895" s="58"/>
      <c r="F895" s="57"/>
      <c r="G895" s="59"/>
      <c r="H895" s="59"/>
      <c r="I895" s="59"/>
      <c r="J895" s="59"/>
      <c r="K895" s="59"/>
      <c r="L895" s="59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</row>
    <row r="896">
      <c r="A896" s="57"/>
      <c r="B896" s="57"/>
      <c r="C896" s="57"/>
      <c r="D896" s="57"/>
      <c r="E896" s="58"/>
      <c r="F896" s="57"/>
      <c r="G896" s="59"/>
      <c r="H896" s="59"/>
      <c r="I896" s="59"/>
      <c r="J896" s="59"/>
      <c r="K896" s="59"/>
      <c r="L896" s="59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</row>
    <row r="897">
      <c r="A897" s="57"/>
      <c r="B897" s="57"/>
      <c r="C897" s="57"/>
      <c r="D897" s="57"/>
      <c r="E897" s="58"/>
      <c r="F897" s="57"/>
      <c r="G897" s="59"/>
      <c r="H897" s="59"/>
      <c r="I897" s="59"/>
      <c r="J897" s="59"/>
      <c r="K897" s="59"/>
      <c r="L897" s="59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</row>
    <row r="898">
      <c r="A898" s="57"/>
      <c r="B898" s="57"/>
      <c r="C898" s="57"/>
      <c r="D898" s="57"/>
      <c r="E898" s="58"/>
      <c r="F898" s="57"/>
      <c r="G898" s="59"/>
      <c r="H898" s="59"/>
      <c r="I898" s="59"/>
      <c r="J898" s="59"/>
      <c r="K898" s="59"/>
      <c r="L898" s="59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</row>
    <row r="899">
      <c r="A899" s="57"/>
      <c r="B899" s="57"/>
      <c r="C899" s="57"/>
      <c r="D899" s="57"/>
      <c r="E899" s="58"/>
      <c r="F899" s="57"/>
      <c r="G899" s="59"/>
      <c r="H899" s="59"/>
      <c r="I899" s="59"/>
      <c r="J899" s="59"/>
      <c r="K899" s="59"/>
      <c r="L899" s="59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</row>
    <row r="900">
      <c r="A900" s="57"/>
      <c r="B900" s="57"/>
      <c r="C900" s="57"/>
      <c r="D900" s="57"/>
      <c r="E900" s="58"/>
      <c r="F900" s="57"/>
      <c r="G900" s="59"/>
      <c r="H900" s="59"/>
      <c r="I900" s="59"/>
      <c r="J900" s="59"/>
      <c r="K900" s="59"/>
      <c r="L900" s="59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</row>
    <row r="901">
      <c r="A901" s="57"/>
      <c r="B901" s="57"/>
      <c r="C901" s="57"/>
      <c r="D901" s="57"/>
      <c r="E901" s="58"/>
      <c r="F901" s="57"/>
      <c r="G901" s="59"/>
      <c r="H901" s="59"/>
      <c r="I901" s="59"/>
      <c r="J901" s="59"/>
      <c r="K901" s="59"/>
      <c r="L901" s="59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</row>
    <row r="902">
      <c r="A902" s="57"/>
      <c r="B902" s="57"/>
      <c r="C902" s="57"/>
      <c r="D902" s="57"/>
      <c r="E902" s="58"/>
      <c r="F902" s="57"/>
      <c r="G902" s="59"/>
      <c r="H902" s="59"/>
      <c r="I902" s="59"/>
      <c r="J902" s="59"/>
      <c r="K902" s="59"/>
      <c r="L902" s="59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</row>
    <row r="903">
      <c r="A903" s="57"/>
      <c r="B903" s="57"/>
      <c r="C903" s="57"/>
      <c r="D903" s="57"/>
      <c r="E903" s="58"/>
      <c r="F903" s="57"/>
      <c r="G903" s="59"/>
      <c r="H903" s="59"/>
      <c r="I903" s="59"/>
      <c r="J903" s="59"/>
      <c r="K903" s="59"/>
      <c r="L903" s="59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</row>
    <row r="904">
      <c r="A904" s="57"/>
      <c r="B904" s="57"/>
      <c r="C904" s="57"/>
      <c r="D904" s="57"/>
      <c r="E904" s="58"/>
      <c r="F904" s="57"/>
      <c r="G904" s="59"/>
      <c r="H904" s="59"/>
      <c r="I904" s="59"/>
      <c r="J904" s="59"/>
      <c r="K904" s="59"/>
      <c r="L904" s="59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</row>
    <row r="905">
      <c r="A905" s="57"/>
      <c r="B905" s="57"/>
      <c r="C905" s="57"/>
      <c r="D905" s="57"/>
      <c r="E905" s="58"/>
      <c r="F905" s="57"/>
      <c r="G905" s="59"/>
      <c r="H905" s="59"/>
      <c r="I905" s="59"/>
      <c r="J905" s="59"/>
      <c r="K905" s="59"/>
      <c r="L905" s="59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</row>
    <row r="906">
      <c r="A906" s="57"/>
      <c r="B906" s="57"/>
      <c r="C906" s="57"/>
      <c r="D906" s="57"/>
      <c r="E906" s="58"/>
      <c r="F906" s="57"/>
      <c r="G906" s="59"/>
      <c r="H906" s="59"/>
      <c r="I906" s="59"/>
      <c r="J906" s="59"/>
      <c r="K906" s="59"/>
      <c r="L906" s="59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</row>
    <row r="907">
      <c r="A907" s="57"/>
      <c r="B907" s="57"/>
      <c r="C907" s="57"/>
      <c r="D907" s="57"/>
      <c r="E907" s="58"/>
      <c r="F907" s="57"/>
      <c r="G907" s="59"/>
      <c r="H907" s="59"/>
      <c r="I907" s="59"/>
      <c r="J907" s="59"/>
      <c r="K907" s="59"/>
      <c r="L907" s="59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</row>
    <row r="908">
      <c r="A908" s="57"/>
      <c r="B908" s="57"/>
      <c r="C908" s="57"/>
      <c r="D908" s="57"/>
      <c r="E908" s="58"/>
      <c r="F908" s="57"/>
      <c r="G908" s="59"/>
      <c r="H908" s="59"/>
      <c r="I908" s="59"/>
      <c r="J908" s="59"/>
      <c r="K908" s="59"/>
      <c r="L908" s="59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</row>
    <row r="909">
      <c r="A909" s="57"/>
      <c r="B909" s="57"/>
      <c r="C909" s="57"/>
      <c r="D909" s="57"/>
      <c r="E909" s="58"/>
      <c r="F909" s="57"/>
      <c r="G909" s="59"/>
      <c r="H909" s="59"/>
      <c r="I909" s="59"/>
      <c r="J909" s="59"/>
      <c r="K909" s="59"/>
      <c r="L909" s="59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</row>
    <row r="910">
      <c r="A910" s="57"/>
      <c r="B910" s="57"/>
      <c r="C910" s="57"/>
      <c r="D910" s="57"/>
      <c r="E910" s="58"/>
      <c r="F910" s="57"/>
      <c r="G910" s="59"/>
      <c r="H910" s="59"/>
      <c r="I910" s="59"/>
      <c r="J910" s="59"/>
      <c r="K910" s="59"/>
      <c r="L910" s="59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</row>
    <row r="911">
      <c r="A911" s="57"/>
      <c r="B911" s="57"/>
      <c r="C911" s="57"/>
      <c r="D911" s="57"/>
      <c r="E911" s="58"/>
      <c r="F911" s="57"/>
      <c r="G911" s="59"/>
      <c r="H911" s="59"/>
      <c r="I911" s="59"/>
      <c r="J911" s="59"/>
      <c r="K911" s="59"/>
      <c r="L911" s="59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</row>
    <row r="912">
      <c r="A912" s="57"/>
      <c r="B912" s="57"/>
      <c r="C912" s="57"/>
      <c r="D912" s="57"/>
      <c r="E912" s="58"/>
      <c r="F912" s="57"/>
      <c r="G912" s="59"/>
      <c r="H912" s="59"/>
      <c r="I912" s="59"/>
      <c r="J912" s="59"/>
      <c r="K912" s="59"/>
      <c r="L912" s="59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</row>
    <row r="913">
      <c r="A913" s="57"/>
      <c r="B913" s="57"/>
      <c r="C913" s="57"/>
      <c r="D913" s="57"/>
      <c r="E913" s="58"/>
      <c r="F913" s="57"/>
      <c r="G913" s="59"/>
      <c r="H913" s="59"/>
      <c r="I913" s="59"/>
      <c r="J913" s="59"/>
      <c r="K913" s="59"/>
      <c r="L913" s="59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</row>
    <row r="914">
      <c r="A914" s="57"/>
      <c r="B914" s="57"/>
      <c r="C914" s="57"/>
      <c r="D914" s="57"/>
      <c r="E914" s="58"/>
      <c r="F914" s="57"/>
      <c r="G914" s="59"/>
      <c r="H914" s="59"/>
      <c r="I914" s="59"/>
      <c r="J914" s="59"/>
      <c r="K914" s="59"/>
      <c r="L914" s="59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</row>
    <row r="915">
      <c r="A915" s="57"/>
      <c r="B915" s="57"/>
      <c r="C915" s="57"/>
      <c r="D915" s="57"/>
      <c r="E915" s="58"/>
      <c r="F915" s="57"/>
      <c r="G915" s="59"/>
      <c r="H915" s="59"/>
      <c r="I915" s="59"/>
      <c r="J915" s="59"/>
      <c r="K915" s="59"/>
      <c r="L915" s="59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</row>
    <row r="916">
      <c r="A916" s="57"/>
      <c r="B916" s="57"/>
      <c r="C916" s="57"/>
      <c r="D916" s="57"/>
      <c r="E916" s="58"/>
      <c r="F916" s="57"/>
      <c r="G916" s="59"/>
      <c r="H916" s="59"/>
      <c r="I916" s="59"/>
      <c r="J916" s="59"/>
      <c r="K916" s="59"/>
      <c r="L916" s="59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</row>
    <row r="917">
      <c r="A917" s="57"/>
      <c r="B917" s="57"/>
      <c r="C917" s="57"/>
      <c r="D917" s="57"/>
      <c r="E917" s="58"/>
      <c r="F917" s="57"/>
      <c r="G917" s="59"/>
      <c r="H917" s="59"/>
      <c r="I917" s="59"/>
      <c r="J917" s="59"/>
      <c r="K917" s="59"/>
      <c r="L917" s="59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</row>
    <row r="918">
      <c r="A918" s="57"/>
      <c r="B918" s="57"/>
      <c r="C918" s="57"/>
      <c r="D918" s="57"/>
      <c r="E918" s="58"/>
      <c r="F918" s="57"/>
      <c r="G918" s="59"/>
      <c r="H918" s="59"/>
      <c r="I918" s="59"/>
      <c r="J918" s="59"/>
      <c r="K918" s="59"/>
      <c r="L918" s="59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</row>
    <row r="919">
      <c r="A919" s="57"/>
      <c r="B919" s="57"/>
      <c r="C919" s="57"/>
      <c r="D919" s="57"/>
      <c r="E919" s="58"/>
      <c r="F919" s="57"/>
      <c r="G919" s="59"/>
      <c r="H919" s="59"/>
      <c r="I919" s="59"/>
      <c r="J919" s="59"/>
      <c r="K919" s="59"/>
      <c r="L919" s="59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</row>
    <row r="920">
      <c r="A920" s="57"/>
      <c r="B920" s="57"/>
      <c r="C920" s="57"/>
      <c r="D920" s="57"/>
      <c r="E920" s="58"/>
      <c r="F920" s="57"/>
      <c r="G920" s="59"/>
      <c r="H920" s="59"/>
      <c r="I920" s="59"/>
      <c r="J920" s="59"/>
      <c r="K920" s="59"/>
      <c r="L920" s="59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</row>
    <row r="921">
      <c r="A921" s="57"/>
      <c r="B921" s="57"/>
      <c r="C921" s="57"/>
      <c r="D921" s="57"/>
      <c r="E921" s="58"/>
      <c r="F921" s="57"/>
      <c r="G921" s="59"/>
      <c r="H921" s="59"/>
      <c r="I921" s="59"/>
      <c r="J921" s="59"/>
      <c r="K921" s="59"/>
      <c r="L921" s="59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</row>
    <row r="922">
      <c r="A922" s="57"/>
      <c r="B922" s="57"/>
      <c r="C922" s="57"/>
      <c r="D922" s="57"/>
      <c r="E922" s="58"/>
      <c r="F922" s="57"/>
      <c r="G922" s="59"/>
      <c r="H922" s="59"/>
      <c r="I922" s="59"/>
      <c r="J922" s="59"/>
      <c r="K922" s="59"/>
      <c r="L922" s="59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</row>
    <row r="923">
      <c r="A923" s="57"/>
      <c r="B923" s="57"/>
      <c r="C923" s="57"/>
      <c r="D923" s="57"/>
      <c r="E923" s="58"/>
      <c r="F923" s="57"/>
      <c r="G923" s="59"/>
      <c r="H923" s="59"/>
      <c r="I923" s="59"/>
      <c r="J923" s="59"/>
      <c r="K923" s="59"/>
      <c r="L923" s="59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</row>
    <row r="924">
      <c r="A924" s="57"/>
      <c r="B924" s="57"/>
      <c r="C924" s="57"/>
      <c r="D924" s="57"/>
      <c r="E924" s="58"/>
      <c r="F924" s="57"/>
      <c r="G924" s="59"/>
      <c r="H924" s="59"/>
      <c r="I924" s="59"/>
      <c r="J924" s="59"/>
      <c r="K924" s="59"/>
      <c r="L924" s="59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</row>
    <row r="925">
      <c r="A925" s="57"/>
      <c r="B925" s="57"/>
      <c r="C925" s="57"/>
      <c r="D925" s="57"/>
      <c r="E925" s="58"/>
      <c r="F925" s="57"/>
      <c r="G925" s="59"/>
      <c r="H925" s="59"/>
      <c r="I925" s="59"/>
      <c r="J925" s="59"/>
      <c r="K925" s="59"/>
      <c r="L925" s="59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</row>
    <row r="926">
      <c r="A926" s="57"/>
      <c r="B926" s="57"/>
      <c r="C926" s="57"/>
      <c r="D926" s="57"/>
      <c r="E926" s="58"/>
      <c r="F926" s="57"/>
      <c r="G926" s="59"/>
      <c r="H926" s="59"/>
      <c r="I926" s="59"/>
      <c r="J926" s="59"/>
      <c r="K926" s="59"/>
      <c r="L926" s="59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</row>
    <row r="927">
      <c r="A927" s="57"/>
      <c r="B927" s="57"/>
      <c r="C927" s="57"/>
      <c r="D927" s="57"/>
      <c r="E927" s="58"/>
      <c r="F927" s="57"/>
      <c r="G927" s="59"/>
      <c r="H927" s="59"/>
      <c r="I927" s="59"/>
      <c r="J927" s="59"/>
      <c r="K927" s="59"/>
      <c r="L927" s="59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</row>
    <row r="928">
      <c r="A928" s="57"/>
      <c r="B928" s="57"/>
      <c r="C928" s="57"/>
      <c r="D928" s="57"/>
      <c r="E928" s="58"/>
      <c r="F928" s="57"/>
      <c r="G928" s="59"/>
      <c r="H928" s="59"/>
      <c r="I928" s="59"/>
      <c r="J928" s="59"/>
      <c r="K928" s="59"/>
      <c r="L928" s="59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</row>
    <row r="929">
      <c r="A929" s="57"/>
      <c r="B929" s="57"/>
      <c r="C929" s="57"/>
      <c r="D929" s="57"/>
      <c r="E929" s="58"/>
      <c r="F929" s="57"/>
      <c r="G929" s="59"/>
      <c r="H929" s="59"/>
      <c r="I929" s="59"/>
      <c r="J929" s="59"/>
      <c r="K929" s="59"/>
      <c r="L929" s="59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</row>
    <row r="930">
      <c r="A930" s="57"/>
      <c r="B930" s="57"/>
      <c r="C930" s="57"/>
      <c r="D930" s="57"/>
      <c r="E930" s="58"/>
      <c r="F930" s="57"/>
      <c r="G930" s="59"/>
      <c r="H930" s="59"/>
      <c r="I930" s="59"/>
      <c r="J930" s="59"/>
      <c r="K930" s="59"/>
      <c r="L930" s="59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</row>
    <row r="931">
      <c r="A931" s="57"/>
      <c r="B931" s="57"/>
      <c r="C931" s="57"/>
      <c r="D931" s="57"/>
      <c r="E931" s="58"/>
      <c r="F931" s="57"/>
      <c r="G931" s="59"/>
      <c r="H931" s="59"/>
      <c r="I931" s="59"/>
      <c r="J931" s="59"/>
      <c r="K931" s="59"/>
      <c r="L931" s="59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</row>
    <row r="932">
      <c r="A932" s="57"/>
      <c r="B932" s="57"/>
      <c r="C932" s="57"/>
      <c r="D932" s="57"/>
      <c r="E932" s="58"/>
      <c r="F932" s="57"/>
      <c r="G932" s="59"/>
      <c r="H932" s="59"/>
      <c r="I932" s="59"/>
      <c r="J932" s="59"/>
      <c r="K932" s="59"/>
      <c r="L932" s="59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</row>
    <row r="933">
      <c r="A933" s="57"/>
      <c r="B933" s="57"/>
      <c r="C933" s="57"/>
      <c r="D933" s="57"/>
      <c r="E933" s="58"/>
      <c r="F933" s="57"/>
      <c r="G933" s="59"/>
      <c r="H933" s="59"/>
      <c r="I933" s="59"/>
      <c r="J933" s="59"/>
      <c r="K933" s="59"/>
      <c r="L933" s="59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</row>
    <row r="934">
      <c r="A934" s="57"/>
      <c r="B934" s="57"/>
      <c r="C934" s="57"/>
      <c r="D934" s="57"/>
      <c r="E934" s="58"/>
      <c r="F934" s="57"/>
      <c r="G934" s="59"/>
      <c r="H934" s="59"/>
      <c r="I934" s="59"/>
      <c r="J934" s="59"/>
      <c r="K934" s="59"/>
      <c r="L934" s="59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</row>
    <row r="935">
      <c r="A935" s="57"/>
      <c r="B935" s="57"/>
      <c r="C935" s="57"/>
      <c r="D935" s="57"/>
      <c r="E935" s="58"/>
      <c r="F935" s="57"/>
      <c r="G935" s="59"/>
      <c r="H935" s="59"/>
      <c r="I935" s="59"/>
      <c r="J935" s="59"/>
      <c r="K935" s="59"/>
      <c r="L935" s="59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</row>
    <row r="936">
      <c r="A936" s="57"/>
      <c r="B936" s="57"/>
      <c r="C936" s="57"/>
      <c r="D936" s="57"/>
      <c r="E936" s="58"/>
      <c r="F936" s="57"/>
      <c r="G936" s="59"/>
      <c r="H936" s="59"/>
      <c r="I936" s="59"/>
      <c r="J936" s="59"/>
      <c r="K936" s="59"/>
      <c r="L936" s="59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</row>
    <row r="937">
      <c r="A937" s="57"/>
      <c r="B937" s="57"/>
      <c r="C937" s="57"/>
      <c r="D937" s="57"/>
      <c r="E937" s="58"/>
      <c r="F937" s="57"/>
      <c r="G937" s="59"/>
      <c r="H937" s="59"/>
      <c r="I937" s="59"/>
      <c r="J937" s="59"/>
      <c r="K937" s="59"/>
      <c r="L937" s="59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</row>
    <row r="938">
      <c r="A938" s="57"/>
      <c r="B938" s="57"/>
      <c r="C938" s="57"/>
      <c r="D938" s="57"/>
      <c r="E938" s="58"/>
      <c r="F938" s="57"/>
      <c r="G938" s="59"/>
      <c r="H938" s="59"/>
      <c r="I938" s="59"/>
      <c r="J938" s="59"/>
      <c r="K938" s="59"/>
      <c r="L938" s="59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</row>
    <row r="939">
      <c r="A939" s="57"/>
      <c r="B939" s="57"/>
      <c r="C939" s="57"/>
      <c r="D939" s="57"/>
      <c r="E939" s="58"/>
      <c r="F939" s="57"/>
      <c r="G939" s="59"/>
      <c r="H939" s="59"/>
      <c r="I939" s="59"/>
      <c r="J939" s="59"/>
      <c r="K939" s="59"/>
      <c r="L939" s="59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</row>
    <row r="940">
      <c r="A940" s="57"/>
      <c r="B940" s="57"/>
      <c r="C940" s="57"/>
      <c r="D940" s="57"/>
      <c r="E940" s="58"/>
      <c r="F940" s="57"/>
      <c r="G940" s="59"/>
      <c r="H940" s="59"/>
      <c r="I940" s="59"/>
      <c r="J940" s="59"/>
      <c r="K940" s="59"/>
      <c r="L940" s="59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</row>
    <row r="941">
      <c r="A941" s="57"/>
      <c r="B941" s="57"/>
      <c r="C941" s="57"/>
      <c r="D941" s="57"/>
      <c r="E941" s="58"/>
      <c r="F941" s="57"/>
      <c r="G941" s="59"/>
      <c r="H941" s="59"/>
      <c r="I941" s="59"/>
      <c r="J941" s="59"/>
      <c r="K941" s="59"/>
      <c r="L941" s="59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</row>
    <row r="942">
      <c r="A942" s="57"/>
      <c r="B942" s="57"/>
      <c r="C942" s="57"/>
      <c r="D942" s="57"/>
      <c r="E942" s="58"/>
      <c r="F942" s="57"/>
      <c r="G942" s="59"/>
      <c r="H942" s="59"/>
      <c r="I942" s="59"/>
      <c r="J942" s="59"/>
      <c r="K942" s="59"/>
      <c r="L942" s="59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</row>
    <row r="943">
      <c r="A943" s="57"/>
      <c r="B943" s="57"/>
      <c r="C943" s="57"/>
      <c r="D943" s="57"/>
      <c r="E943" s="58"/>
      <c r="F943" s="57"/>
      <c r="G943" s="59"/>
      <c r="H943" s="59"/>
      <c r="I943" s="59"/>
      <c r="J943" s="59"/>
      <c r="K943" s="59"/>
      <c r="L943" s="59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</row>
    <row r="944">
      <c r="A944" s="57"/>
      <c r="B944" s="57"/>
      <c r="C944" s="57"/>
      <c r="D944" s="57"/>
      <c r="E944" s="58"/>
      <c r="F944" s="57"/>
      <c r="G944" s="59"/>
      <c r="H944" s="59"/>
      <c r="I944" s="59"/>
      <c r="J944" s="59"/>
      <c r="K944" s="59"/>
      <c r="L944" s="59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</row>
    <row r="945">
      <c r="A945" s="57"/>
      <c r="B945" s="57"/>
      <c r="C945" s="57"/>
      <c r="D945" s="57"/>
      <c r="E945" s="58"/>
      <c r="F945" s="57"/>
      <c r="G945" s="59"/>
      <c r="H945" s="59"/>
      <c r="I945" s="59"/>
      <c r="J945" s="59"/>
      <c r="K945" s="59"/>
      <c r="L945" s="59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</row>
  </sheetData>
  <conditionalFormatting sqref="F4:AZ56 F61:AZ113">
    <cfRule type="cellIs" dxfId="14" priority="1" operator="equal">
      <formula>0</formula>
    </cfRule>
  </conditionalFormatting>
  <conditionalFormatting sqref="G4:L56 G61:L113">
    <cfRule type="colorScale" priority="2">
      <colorScale>
        <cfvo type="min"/>
        <cfvo type="max"/>
        <color rgb="FFFFFFFF"/>
        <color rgb="FF57BB8A"/>
      </colorScale>
    </cfRule>
  </conditionalFormatting>
  <conditionalFormatting sqref="M4:AZ56 M61:AZ113">
    <cfRule type="colorScale" priority="3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D4:E56 H4:H56 J4:J56 L4:L56 N4:N56 P4:P56 R4:R56 T4:T56 V4:V56 X4:X56 Z4:Z56 AB4:AB56 AD4:AD56 AF4:AF56 AH4:AH56 AJ4:AJ56 AL4:AL56 AN4:AN56 AP4:AP56 AR4:AR56 AT4:AT56 AV4:AV56 AX4:AZ56 D61:E113 H61:H113 J61:J113 L61:L113 N61:N113 P61:P113 R61:R113 T61:T113 V61:V113 X61:X113 Z61:Z113 AB61:AB113 AD61:AD113 AF61:AF113 AH61:AH113 AJ61:AJ113 AL61:AL113 AN61:AN113 AP61:AP113 AR61:AR113 AT61:AT113 AV61:AV113 AX61:AZ113">
      <formula1>AND(ISNUMBER(D4),(NOT(OR(NOT(ISERROR(DATEVALUE(D4))), AND(ISNUMBER(D4), LEFT(CELL("format", D4))="D")))))</formula1>
    </dataValidation>
    <dataValidation allowBlank="1" showDropDown="1" sqref="A4:C56 A61:C113"/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