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ed Ingredients" sheetId="1" state="visible" r:id="rId3"/>
    <sheet name="Nutrient Requirements" sheetId="2" state="visible" r:id="rId4"/>
    <sheet name="Flock Calculator" sheetId="3" state="visible" r:id="rId5"/>
    <sheet name="Mix Designer" sheetId="4" state="visible" r:id="rId6"/>
    <sheet name="Cost Summary" sheetId="5" state="visible" r:id="rId7"/>
    <sheet name="Grazing Planner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<sst xmlns="http://schemas.openxmlformats.org/spreadsheetml/2006/main" count="563" uniqueCount="292">
  <si>
    <t xml:space="preserve">FEED INGREDIENT DATABASE</t>
  </si>
  <si>
    <t xml:space="preserve">Cloudskraal Boerdery — Dohne Merino Feed Calculator</t>
  </si>
  <si>
    <t xml:space="preserve">Ingredient</t>
  </si>
  <si>
    <t xml:space="preserve">Category</t>
  </si>
  <si>
    <t xml:space="preserve">ME (MJ/kg DM)</t>
  </si>
  <si>
    <t xml:space="preserve">CP (%DM)</t>
  </si>
  <si>
    <t xml:space="preserve">NDF (%DM)</t>
  </si>
  <si>
    <t xml:space="preserve">Ca (%DM)</t>
  </si>
  <si>
    <t xml:space="preserve">P (%DM)</t>
  </si>
  <si>
    <t xml:space="preserve">Cost (R/kg as-fed)</t>
  </si>
  <si>
    <t xml:space="preserve">DM (%)</t>
  </si>
  <si>
    <t xml:space="preserve">Rye grain (own)</t>
  </si>
  <si>
    <t xml:space="preserve">Energy – Farm</t>
  </si>
  <si>
    <t xml:space="preserve">Barley grain (own)</t>
  </si>
  <si>
    <t xml:space="preserve">Wheat grain (own)</t>
  </si>
  <si>
    <t xml:space="preserve">Lupins (own)</t>
  </si>
  <si>
    <t xml:space="preserve">Protein – Farm</t>
  </si>
  <si>
    <t xml:space="preserve">Lucerne hay (own)</t>
  </si>
  <si>
    <t xml:space="preserve">Roughage – Farm</t>
  </si>
  <si>
    <t xml:space="preserve">Maize meal</t>
  </si>
  <si>
    <t xml:space="preserve">Energy – Bought</t>
  </si>
  <si>
    <t xml:space="preserve">Maize hominy chop</t>
  </si>
  <si>
    <t xml:space="preserve">Molasses meal</t>
  </si>
  <si>
    <t xml:space="preserve">Cottonseed oilcake</t>
  </si>
  <si>
    <t xml:space="preserve">Protein – Bought</t>
  </si>
  <si>
    <t xml:space="preserve">Sunflower oilcake</t>
  </si>
  <si>
    <t xml:space="preserve">Soybean oilcake</t>
  </si>
  <si>
    <t xml:space="preserve">Fish meal</t>
  </si>
  <si>
    <t xml:space="preserve">Urea</t>
  </si>
  <si>
    <t xml:space="preserve">NPN</t>
  </si>
  <si>
    <t xml:space="preserve">Salt (NaCl)</t>
  </si>
  <si>
    <t xml:space="preserve">Mineral</t>
  </si>
  <si>
    <t xml:space="preserve">Feed lime</t>
  </si>
  <si>
    <t xml:space="preserve">Monocalcium phosphate</t>
  </si>
  <si>
    <t xml:space="preserve">Vit/mineral premix</t>
  </si>
  <si>
    <t xml:space="preserve">Supplement</t>
  </si>
  <si>
    <t xml:space="preserve">Rye pasture (grazed)</t>
  </si>
  <si>
    <t xml:space="preserve">Pasture – Farm</t>
  </si>
  <si>
    <t xml:space="preserve">Barley pasture (grazed)</t>
  </si>
  <si>
    <t xml:space="preserve">Natural veld</t>
  </si>
  <si>
    <t xml:space="preserve">Wheat straw</t>
  </si>
  <si>
    <t xml:space="preserve">Notes:</t>
  </si>
  <si>
    <t xml:space="preserve">* Blue cost values are editable. ME = Metabolisable Energy. CP = Crude Protein (% of DM). NDF = Neutral Detergent Fibre.</t>
  </si>
  <si>
    <t xml:space="preserve">* Urea CP equiv = N×6.25 (287%). Max 1% of total diet weight. Pasture costs = R0 (own land, opportunity cost excluded).</t>
  </si>
  <si>
    <t xml:space="preserve">DOHNE MERINO NUTRIENT REQUIREMENTS BY PHASE</t>
  </si>
  <si>
    <t xml:space="preserve">Based on NRC (2007) for 60 kg mature ewe (~132 lb). All values converted to metric. Total diet = grazing + supplement.</t>
  </si>
  <si>
    <t xml:space="preserve">Assumed mature ewe weight:</t>
  </si>
  <si>
    <t xml:space="preserve">kg (adjust for your flock)</t>
  </si>
  <si>
    <t xml:space="preserve">Phase</t>
  </si>
  <si>
    <t xml:space="preserve">Production Stage</t>
  </si>
  <si>
    <t xml:space="preserve">DM Intake (kg/d)</t>
  </si>
  <si>
    <t xml:space="preserve">ME Required (MJ/d)</t>
  </si>
  <si>
    <t xml:space="preserve">CP Required (g/d)</t>
  </si>
  <si>
    <t xml:space="preserve">CP (% of DM)</t>
  </si>
  <si>
    <t xml:space="preserve">TDN (% of DM)</t>
  </si>
  <si>
    <t xml:space="preserve">Ca (g/d)</t>
  </si>
  <si>
    <t xml:space="preserve">P (g/d)</t>
  </si>
  <si>
    <t xml:space="preserve">Ca:P Ratio</t>
  </si>
  <si>
    <t xml:space="preserve">Vit A (IU/d)</t>
  </si>
  <si>
    <t xml:space="preserve">Vit E (IU/d)</t>
  </si>
  <si>
    <t xml:space="preserve">Maintenance</t>
  </si>
  <si>
    <t xml:space="preserve">Dry, non-pregnant</t>
  </si>
  <si>
    <t xml:space="preserve">1.0:1</t>
  </si>
  <si>
    <t xml:space="preserve">Flushing</t>
  </si>
  <si>
    <t xml:space="preserve">Pre-breeding + first 3 wks</t>
  </si>
  <si>
    <t xml:space="preserve">2.0:1</t>
  </si>
  <si>
    <t xml:space="preserve">Early Pregnancy</t>
  </si>
  <si>
    <t xml:space="preserve">First 15 weeks gestation</t>
  </si>
  <si>
    <t xml:space="preserve">1.4:1</t>
  </si>
  <si>
    <t xml:space="preserve">Late Preg (Singles)</t>
  </si>
  <si>
    <t xml:space="preserve">Last 4 wks, 130-150% lambing</t>
  </si>
  <si>
    <t xml:space="preserve">1.2:1</t>
  </si>
  <si>
    <t xml:space="preserve">Late Preg (Twins)</t>
  </si>
  <si>
    <t xml:space="preserve">Last 4 wks, 180-225% lambing</t>
  </si>
  <si>
    <t xml:space="preserve">1.9:1</t>
  </si>
  <si>
    <t xml:space="preserve">Early Lact (Singles)</t>
  </si>
  <si>
    <t xml:space="preserve">First 6-8 wks, suckling singles</t>
  </si>
  <si>
    <t xml:space="preserve">Early Lact (Twins)</t>
  </si>
  <si>
    <t xml:space="preserve">First 6-8 wks, suckling twins</t>
  </si>
  <si>
    <t xml:space="preserve">Peak Lact (Singles)</t>
  </si>
  <si>
    <t xml:space="preserve">Weeks 3-4 peak milk, singles</t>
  </si>
  <si>
    <t xml:space="preserve">Peak Lact (Twins)</t>
  </si>
  <si>
    <t xml:space="preserve">Weeks 3-4 peak milk, twins</t>
  </si>
  <si>
    <t xml:space="preserve">Late Lact (Singles)</t>
  </si>
  <si>
    <t xml:space="preserve">Weeks 8-12, singles</t>
  </si>
  <si>
    <t xml:space="preserve">Late Lact (Twins)</t>
  </si>
  <si>
    <t xml:space="preserve">Weeks 8-12, twins</t>
  </si>
  <si>
    <t xml:space="preserve">Growing Lamb</t>
  </si>
  <si>
    <t xml:space="preserve">Weaner, 30kg, gaining 200g/d</t>
  </si>
  <si>
    <t xml:space="preserve">2.2:1</t>
  </si>
  <si>
    <t xml:space="preserve">Replacement Ewe</t>
  </si>
  <si>
    <t xml:space="preserve">Maiden, 45kg, gaining 100g/d</t>
  </si>
  <si>
    <t xml:space="preserve">Ram (breeding)</t>
  </si>
  <si>
    <t xml:space="preserve">Mature ram, 90kg</t>
  </si>
  <si>
    <t xml:space="preserve">  ESTIMATED GRAZING CONTRIBUTION (what the veld/pasture provides before supplementation)</t>
  </si>
  <si>
    <t xml:space="preserve">Pasture Type</t>
  </si>
  <si>
    <t xml:space="preserve">Season</t>
  </si>
  <si>
    <t xml:space="preserve">Est. DM Intake (kg/d)</t>
  </si>
  <si>
    <t xml:space="preserve">ME from grazing (MJ/d)</t>
  </si>
  <si>
    <t xml:space="preserve">CP from grazing (g/d)</t>
  </si>
  <si>
    <t xml:space="preserve">Ca from grazing (g/d)</t>
  </si>
  <si>
    <t xml:space="preserve">P from grazing (g/d)</t>
  </si>
  <si>
    <t xml:space="preserve">Rye pasture (winter, good)</t>
  </si>
  <si>
    <t xml:space="preserve">May–Aug</t>
  </si>
  <si>
    <t xml:space="preserve">Rye pasture (spring, mature)</t>
  </si>
  <si>
    <t xml:space="preserve">Sep–Oct</t>
  </si>
  <si>
    <t xml:space="preserve">Barley pasture (winter)</t>
  </si>
  <si>
    <t xml:space="preserve">Natural veld (good, green)</t>
  </si>
  <si>
    <t xml:space="preserve">Mar–May</t>
  </si>
  <si>
    <t xml:space="preserve">Natural veld (dry, dormant)</t>
  </si>
  <si>
    <t xml:space="preserve">Jun–Sep</t>
  </si>
  <si>
    <t xml:space="preserve">Natural veld + rye mix</t>
  </si>
  <si>
    <t xml:space="preserve">Apr–Jun</t>
  </si>
  <si>
    <t xml:space="preserve">Lucerne pasture (irrigated)</t>
  </si>
  <si>
    <t xml:space="preserve">Year-round</t>
  </si>
  <si>
    <t xml:space="preserve">  SUPPLEMENT GAP ANALYSIS — What the supplement must provide (Total Need – Grazing Contribution)</t>
  </si>
  <si>
    <t xml:space="preserve">This shows the gap between what grazing provides and what the ewe needs. The supplement must fill this gap.</t>
  </si>
  <si>
    <t xml:space="preserve">Grazing Assumed</t>
  </si>
  <si>
    <t xml:space="preserve">Total ME Need (MJ/d)</t>
  </si>
  <si>
    <t xml:space="preserve">Grazing ME (MJ/d)</t>
  </si>
  <si>
    <t xml:space="preserve">ME Gap (MJ/d)</t>
  </si>
  <si>
    <t xml:space="preserve">Total CP Need (g/d)</t>
  </si>
  <si>
    <t xml:space="preserve">Grazing CP (g/d)</t>
  </si>
  <si>
    <t xml:space="preserve">CP Gap (g/d)</t>
  </si>
  <si>
    <t xml:space="preserve">Supp Rate (g/d)</t>
  </si>
  <si>
    <t xml:space="preserve">Supp ME (MJ/kg)</t>
  </si>
  <si>
    <t xml:space="preserve">Supp CP (% DM)</t>
  </si>
  <si>
    <t xml:space="preserve">Adequate?</t>
  </si>
  <si>
    <t xml:space="preserve">1. Mid Preg (Twins)</t>
  </si>
  <si>
    <t xml:space="preserve">Veld (green, Feb–Apr)</t>
  </si>
  <si>
    <t xml:space="preserve">1. Mid Preg (Singles)</t>
  </si>
  <si>
    <t xml:space="preserve">2. Late Preg (Twins)</t>
  </si>
  <si>
    <t xml:space="preserve">Veld + rye pasture (Apr–May)</t>
  </si>
  <si>
    <t xml:space="preserve">2. Late Preg (Singles)</t>
  </si>
  <si>
    <t xml:space="preserve">3. Early Lact (Twins)</t>
  </si>
  <si>
    <t xml:space="preserve">Rye pasture (May–Jun, peak growth)</t>
  </si>
  <si>
    <t xml:space="preserve">3. Early Lact (Singles)</t>
  </si>
  <si>
    <t xml:space="preserve">4. Peak Lact (Twins)</t>
  </si>
  <si>
    <t xml:space="preserve">Rye pasture (Jun–Jul, peak growth)</t>
  </si>
  <si>
    <t xml:space="preserve">4. Peak Lact (Singles)</t>
  </si>
  <si>
    <t xml:space="preserve">5. Weaners</t>
  </si>
  <si>
    <t xml:space="preserve">Rye/barley pasture (Aug–Sep)</t>
  </si>
  <si>
    <t xml:space="preserve">6. Flushing</t>
  </si>
  <si>
    <t xml:space="preserve">Spring veld (Sep–Oct)</t>
  </si>
  <si>
    <t xml:space="preserve">KEY FINDINGS FROM GAP ANALYSIS:</t>
  </si>
  <si>
    <t xml:space="preserve">⚠ Early and peak lactation (twins) has the biggest gap. Supplement must deliver 13+ MJ/kg ME and 35%+ CP — very high specification.</t>
  </si>
  <si>
    <t xml:space="preserve">⚠ At 600g/day for twin-rearing, the supplement alone cannot fully close the energy gap. Ewes MUST be on excellent rye pasture.</t>
  </si>
  <si>
    <t xml:space="preserve">✅ Mid pregnancy and weaner phases are comfortable — good veld/pasture covers most needs, supplement is supplementary.</t>
  </si>
  <si>
    <t xml:space="preserve">⚠ Flushing requires high-energy supplement — but short duration (3-4 weeks) limits total cost impact.</t>
  </si>
  <si>
    <t xml:space="preserve">* If veld quality is poor, increase supplement rate by 50-100% or add lucerne hay allocation.</t>
  </si>
  <si>
    <t xml:space="preserve">FLOCK FEEDING CALCULATOR</t>
  </si>
  <si>
    <t xml:space="preserve">Enter flock numbers — all calculations update automatically</t>
  </si>
  <si>
    <t xml:space="preserve">  FLOCK NUMBERS — ENTER COUNTS</t>
  </si>
  <si>
    <t xml:space="preserve">Head Count</t>
  </si>
  <si>
    <t xml:space="preserve">Description</t>
  </si>
  <si>
    <t xml:space="preserve">Twin-bearing ewes</t>
  </si>
  <si>
    <t xml:space="preserve">From scanning</t>
  </si>
  <si>
    <t xml:space="preserve">Single-bearing ewes</t>
  </si>
  <si>
    <t xml:space="preserve">Dry / open ewes</t>
  </si>
  <si>
    <t xml:space="preserve">Not pregnant</t>
  </si>
  <si>
    <t xml:space="preserve">Replacement ewes (maiden)</t>
  </si>
  <si>
    <t xml:space="preserve">Not yet joined</t>
  </si>
  <si>
    <t xml:space="preserve">Weaners (post-weaning)</t>
  </si>
  <si>
    <t xml:space="preserve">Enter once weaned</t>
  </si>
  <si>
    <t xml:space="preserve">Rams</t>
  </si>
  <si>
    <t xml:space="preserve">Breeding rams</t>
  </si>
  <si>
    <t xml:space="preserve">TOTAL FLOCK</t>
  </si>
  <si>
    <t xml:space="preserve">  FEEDING PHASES WITH NRC-VALIDATED TARGETS</t>
  </si>
  <si>
    <t xml:space="preserve">Period</t>
  </si>
  <si>
    <t xml:space="preserve">Group</t>
  </si>
  <si>
    <t xml:space="preserve">ME Target (MJ/d)</t>
  </si>
  <si>
    <t xml:space="preserve">CP Target (g/d)</t>
  </si>
  <si>
    <t xml:space="preserve">Supplement (g/d)</t>
  </si>
  <si>
    <t xml:space="preserve">Roughage Basis</t>
  </si>
  <si>
    <t xml:space="preserve">1. Mid Pregnancy</t>
  </si>
  <si>
    <t xml:space="preserve">Feb–Apr</t>
  </si>
  <si>
    <t xml:space="preserve">Twin-bearers</t>
  </si>
  <si>
    <t xml:space="preserve">Natural veld (green season)</t>
  </si>
  <si>
    <t xml:space="preserve">Single-bearers</t>
  </si>
  <si>
    <t xml:space="preserve">Dry / Open</t>
  </si>
  <si>
    <t xml:space="preserve">Maintenance veld + lick</t>
  </si>
  <si>
    <t xml:space="preserve">Replacements</t>
  </si>
  <si>
    <t xml:space="preserve">Good veld + supplement</t>
  </si>
  <si>
    <t xml:space="preserve">2. Late Pregnancy</t>
  </si>
  <si>
    <t xml:space="preserve">Apr–May</t>
  </si>
  <si>
    <t xml:space="preserve">Veld + rye/barley pasture</t>
  </si>
  <si>
    <t xml:space="preserve">Veld + rye pasture</t>
  </si>
  <si>
    <t xml:space="preserve">3. Lambing + Early Lact.</t>
  </si>
  <si>
    <t xml:space="preserve">May–Jun</t>
  </si>
  <si>
    <t xml:space="preserve">Twin-rearing</t>
  </si>
  <si>
    <t xml:space="preserve">Best rye pasture + 1kg lucerne hay/day</t>
  </si>
  <si>
    <t xml:space="preserve">Single-rearing</t>
  </si>
  <si>
    <t xml:space="preserve">Good rye pasture + lucerne hay if thin</t>
  </si>
  <si>
    <t xml:space="preserve">4. Peak Lactation</t>
  </si>
  <si>
    <t xml:space="preserve">Jun–Jul</t>
  </si>
  <si>
    <t xml:space="preserve">Weaners (creep)</t>
  </si>
  <si>
    <t xml:space="preserve">Rye/barley pasture + creep</t>
  </si>
  <si>
    <t xml:space="preserve">5. Weaning</t>
  </si>
  <si>
    <t xml:space="preserve">Aug–Sep</t>
  </si>
  <si>
    <t xml:space="preserve">Ewes (all)</t>
  </si>
  <si>
    <t xml:space="preserve">Rye pasture maintenance</t>
  </si>
  <si>
    <t xml:space="preserve">Weaners</t>
  </si>
  <si>
    <t xml:space="preserve">Best pasture + grower</t>
  </si>
  <si>
    <t xml:space="preserve">6. Dry / Flushing</t>
  </si>
  <si>
    <t xml:space="preserve">All ewes</t>
  </si>
  <si>
    <t xml:space="preserve">Spring veld + flushing feed</t>
  </si>
  <si>
    <t xml:space="preserve">Flushing + growth</t>
  </si>
  <si>
    <t xml:space="preserve">Condition for joining</t>
  </si>
  <si>
    <t xml:space="preserve">  DAILY FEED TOTALS BY PHASE</t>
  </si>
  <si>
    <t xml:space="preserve">Total Head</t>
  </si>
  <si>
    <t xml:space="preserve">Supplement (kg/day)</t>
  </si>
  <si>
    <t xml:space="preserve">Supplement (kg/month)</t>
  </si>
  <si>
    <t xml:space="preserve">Est. Monthly Cost (R)</t>
  </si>
  <si>
    <t xml:space="preserve">ANNUAL (sum all months)</t>
  </si>
  <si>
    <t xml:space="preserve">RATION MIX DESIGNER — NRC-VALIDATED</t>
  </si>
  <si>
    <t xml:space="preserve">Mixes redesigned to meet NRC gap analysis targets. Enter inclusion rates (kg/100kg) — results calculate automatically.</t>
  </si>
  <si>
    <t xml:space="preserve">  Phase 1: Mid Pregnancy (300g/d for twins, 200g/d singles)</t>
  </si>
  <si>
    <t xml:space="preserve">Gap target: ≥9.0 MJ/kg ME, ≥15% CP — low-spec, veld does most work</t>
  </si>
  <si>
    <t xml:space="preserve">Supplement rate (g/head/day):</t>
  </si>
  <si>
    <t xml:space="preserve">Head count:</t>
  </si>
  <si>
    <t xml:space="preserve">kg/100kg</t>
  </si>
  <si>
    <t xml:space="preserve">ME (MJ/kg)</t>
  </si>
  <si>
    <t xml:space="preserve">CP (%)</t>
  </si>
  <si>
    <t xml:space="preserve">Cost (R/kg)</t>
  </si>
  <si>
    <t xml:space="preserve">ME contrib.</t>
  </si>
  <si>
    <t xml:space="preserve">CP contrib.</t>
  </si>
  <si>
    <t xml:space="preserve">Cost contrib.</t>
  </si>
  <si>
    <t xml:space="preserve">Ca contrib.</t>
  </si>
  <si>
    <t xml:space="preserve">P contrib.</t>
  </si>
  <si>
    <t xml:space="preserve">TOTAL MIX</t>
  </si>
  <si>
    <t xml:space="preserve">Mix ME (MJ/kg):</t>
  </si>
  <si>
    <t xml:space="preserve">Mix CP (%):</t>
  </si>
  <si>
    <t xml:space="preserve">Cost/kg (R):</t>
  </si>
  <si>
    <t xml:space="preserve">Ca:P ratio:</t>
  </si>
  <si>
    <t xml:space="preserve">Cost per head/day (R):</t>
  </si>
  <si>
    <t xml:space="preserve">Daily flock cost (R):</t>
  </si>
  <si>
    <t xml:space="preserve">Monthly cost (R):</t>
  </si>
  <si>
    <t xml:space="preserve">ME delivered/head/day (MJ):</t>
  </si>
  <si>
    <t xml:space="preserve">CP delivered/head/day (g):</t>
  </si>
  <si>
    <t xml:space="preserve">  Phase 2: Late Pregnancy (500g/d twins, 300g/d singles)</t>
  </si>
  <si>
    <t xml:space="preserve">Gap target: ≥11.0 MJ/kg ME, ≥19% CP — energy critical, prevent twin lamb disease</t>
  </si>
  <si>
    <t xml:space="preserve">  Phase 3: Early Lactation (700g/d twins, 450g/d singles)</t>
  </si>
  <si>
    <t xml:space="preserve">Gap target: ≥13.0 MJ/kg ME, ≥20% CP — highest spec, ewes on best rye pasture</t>
  </si>
  <si>
    <t xml:space="preserve">  Phase 4: Peak Lactation (700g/d twins, 450g/d singles)</t>
  </si>
  <si>
    <t xml:space="preserve">Gap target: ≥13.0 MJ/kg ME, ≥20% CP — same high spec, milk peak at 3-4 weeks</t>
  </si>
  <si>
    <t xml:space="preserve">  Phase 5: Weaner Grower (300g/d)</t>
  </si>
  <si>
    <t xml:space="preserve">Gap target: ≥12.0 MJ/kg ME, ≥16% CP — protein for frame growth</t>
  </si>
  <si>
    <t xml:space="preserve">  Phase 6: Flushing (300g/d all ewes)</t>
  </si>
  <si>
    <t xml:space="preserve">Gap target: ≥12.5 MJ/kg ME, ≥14% CP — rising energy plane</t>
  </si>
  <si>
    <t xml:space="preserve">ANNUAL FEEDING COST SUMMARY</t>
  </si>
  <si>
    <t xml:space="preserve">All values linked to Mix Designer and Flock Calculator</t>
  </si>
  <si>
    <t xml:space="preserve">  MONTHLY COST BY PHASE</t>
  </si>
  <si>
    <t xml:space="preserve">Duration (months)</t>
  </si>
  <si>
    <t xml:space="preserve">Monthly Feed Cost (R)</t>
  </si>
  <si>
    <t xml:space="preserve">Phase Total (R)</t>
  </si>
  <si>
    <t xml:space="preserve">% of Annual</t>
  </si>
  <si>
    <t xml:space="preserve">3. Lambing/Early Lact.</t>
  </si>
  <si>
    <t xml:space="preserve">ANNUAL TOTAL</t>
  </si>
  <si>
    <t xml:space="preserve">  KEY METRICS</t>
  </si>
  <si>
    <t xml:space="preserve">Total pregnant ewes:</t>
  </si>
  <si>
    <t xml:space="preserve">Annual feed cost per pregnant ewe:</t>
  </si>
  <si>
    <t xml:space="preserve">Cost per head total flock:</t>
  </si>
  <si>
    <t xml:space="preserve">Average daily spend (R):</t>
  </si>
  <si>
    <t xml:space="preserve">GRAZING &amp; PASTURE PLANNER</t>
  </si>
  <si>
    <t xml:space="preserve">Pasture allocation — sheep graze bulk roughage from the land, supplement fills the gap</t>
  </si>
  <si>
    <t xml:space="preserve">  PASTURE INPUTS</t>
  </si>
  <si>
    <t xml:space="preserve">Parameter</t>
  </si>
  <si>
    <t xml:space="preserve">Value</t>
  </si>
  <si>
    <t xml:space="preserve">Notes</t>
  </si>
  <si>
    <t xml:space="preserve">Total rye pasture (ha)</t>
  </si>
  <si>
    <t xml:space="preserve">Hectares planted to rye</t>
  </si>
  <si>
    <t xml:space="preserve">Total barley pasture (ha)</t>
  </si>
  <si>
    <t xml:space="preserve">Hectares planted to barley</t>
  </si>
  <si>
    <t xml:space="preserve">Wheat stubble (ha)</t>
  </si>
  <si>
    <t xml:space="preserve">Post-harvest grazing</t>
  </si>
  <si>
    <t xml:space="preserve">Natural veld (ha)</t>
  </si>
  <si>
    <t xml:space="preserve">Natural grazing</t>
  </si>
  <si>
    <t xml:space="preserve">Lucerne under irrigation (ha)</t>
  </si>
  <si>
    <t xml:space="preserve">Cut/grazed</t>
  </si>
  <si>
    <t xml:space="preserve">Veld carrying capacity (ha/LSU)</t>
  </si>
  <si>
    <t xml:space="preserve">Northern Cape semi-arid</t>
  </si>
  <si>
    <t xml:space="preserve">Improved pasture capacity (ha/LSU)</t>
  </si>
  <si>
    <t xml:space="preserve">Irrigated/dryland improved</t>
  </si>
  <si>
    <t xml:space="preserve">  CARRYING CAPACITY</t>
  </si>
  <si>
    <t xml:space="preserve">1 LSU = ~6 dry Dohne ewes or ~4 ewes with lambs at foot</t>
  </si>
  <si>
    <t xml:space="preserve">Veld LSU capacity</t>
  </si>
  <si>
    <t xml:space="preserve">Veld ewe capacity (with lambs)</t>
  </si>
  <si>
    <t xml:space="preserve">Improved pasture LSU</t>
  </si>
  <si>
    <t xml:space="preserve">Improved pasture ewes (with lambs)</t>
  </si>
  <si>
    <t xml:space="preserve">Total capacity (ewes+lambs)</t>
  </si>
  <si>
    <t xml:space="preserve">Current flock</t>
  </si>
  <si>
    <t xml:space="preserve">Surplus / (Deficit)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</si>
</sst>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0"/>
    <numFmt numFmtId="166" formatCode="0"/>
    <numFmt numFmtId="167" formatCode="0.0"/>
    <numFmt numFmtId="168" formatCode="#,##0"/>
    <numFmt numFmtId="169" formatCode="#,##0.0"/>
    <numFmt numFmtId="170" formatCode="General"/>
    <numFmt numFmtId="171" formatCode="0.000"/>
    <numFmt numFmtId="172" formatCode="0.0%"/>
  </numFmts>
  <fonts count="3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2D5016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333333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333333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922B21"/>
      <name val="Arial"/>
      <family val="0"/>
      <charset val="1"/>
    </font>
    <font>
      <sz val="10"/>
      <color rgb="FF922B21"/>
      <name val="Arial"/>
      <family val="0"/>
      <charset val="1"/>
    </font>
    <font>
      <sz val="10"/>
      <color rgb="FF4A7C29"/>
      <name val="Arial"/>
      <family val="0"/>
      <charset val="1"/>
    </font>
    <font>
      <sz val="10"/>
      <color rgb="FFAF601A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922B21"/>
      <name val="Arial"/>
      <family val="0"/>
      <charset val="1"/>
    </font>
    <font>
      <i val="true"/>
      <sz val="9"/>
      <color rgb="FF1B4F72"/>
      <name val="Arial"/>
      <family val="0"/>
      <charset val="1"/>
    </font>
    <font>
      <b val="true"/>
      <sz val="10"/>
      <color rgb="FF1B4F72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922B21"/>
      <name val="Arial"/>
      <family val="0"/>
      <charset val="1"/>
    </font>
    <font>
      <i val="true"/>
      <sz val="9"/>
      <color rgb="FFAF601A"/>
      <name val="Arial"/>
      <family val="0"/>
      <charset val="1"/>
    </font>
    <font>
      <b val="true"/>
      <sz val="10"/>
      <color rgb="FFAF601A"/>
      <name val="Arial"/>
      <family val="0"/>
      <charset val="1"/>
    </font>
    <font>
      <i val="true"/>
      <sz val="9"/>
      <color rgb="FF6C3483"/>
      <name val="Arial"/>
      <family val="0"/>
      <charset val="1"/>
    </font>
    <font>
      <b val="true"/>
      <sz val="10"/>
      <color rgb="FF6C3483"/>
      <name val="Arial"/>
      <family val="0"/>
      <charset val="1"/>
    </font>
    <font>
      <i val="true"/>
      <sz val="9"/>
      <color rgb="FF4A7C29"/>
      <name val="Arial"/>
      <family val="0"/>
      <charset val="1"/>
    </font>
    <font>
      <b val="true"/>
      <sz val="10"/>
      <color rgb="FF4A7C29"/>
      <name val="Arial"/>
      <family val="0"/>
      <charset val="1"/>
    </font>
    <font>
      <i val="true"/>
      <sz val="9"/>
      <color rgb="FF5C3D1E"/>
      <name val="Arial"/>
      <family val="0"/>
      <charset val="1"/>
    </font>
    <font>
      <b val="true"/>
      <sz val="10"/>
      <color rgb="FF5C3D1E"/>
      <name val="Arial"/>
      <family val="0"/>
      <charset val="1"/>
    </font>
    <font>
      <b val="true"/>
      <sz val="12"/>
      <color rgb="FF922B21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2D5016"/>
        <bgColor rgb="FF333333"/>
      </patternFill>
    </fill>
    <fill>
      <patternFill patternType="solid">
        <fgColor rgb="FFE8F0E0"/>
        <bgColor rgb="FFF5EDE0"/>
      </patternFill>
    </fill>
    <fill>
      <patternFill patternType="solid">
        <fgColor rgb="FFFFFFCC"/>
        <bgColor rgb="FFFDEBD0"/>
      </patternFill>
    </fill>
    <fill>
      <patternFill patternType="solid">
        <fgColor rgb="FF922B21"/>
        <bgColor rgb="FF5C3D1E"/>
      </patternFill>
    </fill>
    <fill>
      <patternFill patternType="solid">
        <fgColor rgb="FFFADBD8"/>
        <bgColor rgb="FFE8DAEF"/>
      </patternFill>
    </fill>
    <fill>
      <patternFill patternType="solid">
        <fgColor rgb="FF4A7C29"/>
        <bgColor rgb="FF666666"/>
      </patternFill>
    </fill>
    <fill>
      <patternFill patternType="solid">
        <fgColor rgb="FF1B4F72"/>
        <bgColor rgb="FF333399"/>
      </patternFill>
    </fill>
    <fill>
      <patternFill patternType="solid">
        <fgColor rgb="FFD6EAF8"/>
        <bgColor rgb="FFE8F0E0"/>
      </patternFill>
    </fill>
    <fill>
      <patternFill patternType="solid">
        <fgColor rgb="FF5C3D1E"/>
        <bgColor rgb="FF333333"/>
      </patternFill>
    </fill>
    <fill>
      <patternFill patternType="solid">
        <fgColor rgb="FFF5EDE0"/>
        <bgColor rgb="FFFDEBD0"/>
      </patternFill>
    </fill>
    <fill>
      <patternFill patternType="solid">
        <fgColor rgb="FFAF601A"/>
        <bgColor rgb="FF922B21"/>
      </patternFill>
    </fill>
    <fill>
      <patternFill patternType="solid">
        <fgColor rgb="FFFDEBD0"/>
        <bgColor rgb="FFF5EDE0"/>
      </patternFill>
    </fill>
    <fill>
      <patternFill patternType="solid">
        <fgColor rgb="FF6C3483"/>
        <bgColor rgb="FF333399"/>
      </patternFill>
    </fill>
    <fill>
      <patternFill patternType="solid">
        <fgColor rgb="FFE8DAEF"/>
        <bgColor rgb="FFFADBD8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medium">
        <color rgb="FF0000FF"/>
      </left>
      <right style="medium">
        <color rgb="FF0000FF"/>
      </right>
      <top style="medium">
        <color rgb="FF0000FF"/>
      </top>
      <bottom style="medium">
        <color rgb="FF0000FF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medium">
        <color rgb="FF33333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8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9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1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11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9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9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9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9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9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9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23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3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0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9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9" fillId="1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9" fillId="1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9" fillId="1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6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9" fillId="1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9" fillId="1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9" fillId="1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8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9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9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9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9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9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9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2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3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3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AF601A"/>
      <rgbColor rgb="FF800080"/>
      <rgbColor rgb="FF008080"/>
      <rgbColor rgb="FFCCCCCC"/>
      <rgbColor rgb="FF808080"/>
      <rgbColor rgb="FF9999FF"/>
      <rgbColor rgb="FF6C3483"/>
      <rgbColor rgb="FFFFFFCC"/>
      <rgbColor rgb="FFD6EAF8"/>
      <rgbColor rgb="FF660066"/>
      <rgbColor rgb="FFFF8080"/>
      <rgbColor rgb="FF0066CC"/>
      <rgbColor rgb="FFE8DAE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EDE0"/>
      <rgbColor rgb="FFE8F0E0"/>
      <rgbColor rgb="FFFDEBD0"/>
      <rgbColor rgb="FF99CCFF"/>
      <rgbColor rgb="FFFF99CC"/>
      <rgbColor rgb="FFCC99FF"/>
      <rgbColor rgb="FFFADBD8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B4F72"/>
      <rgbColor rgb="FF4A7C29"/>
      <rgbColor rgb="FF003300"/>
      <rgbColor rgb="FF2D5016"/>
      <rgbColor rgb="FF922B21"/>
      <rgbColor rgb="FF5C3D1E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A7C29"/>
    <pageSetUpPr fitToPage="false"/>
  </sheetPr>
  <dimension ref="A1:I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8"/>
    <col collapsed="false" customWidth="true" hidden="false" outlineLevel="0" max="9" min="3" style="1" width="14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true" outlineLevel="0" collapsed="false">
      <c r="A2" s="3" t="s">
        <v>1</v>
      </c>
    </row>
    <row r="4" customFormat="false" ht="23.2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</row>
    <row r="5" customFormat="false" ht="15" hidden="false" customHeight="true" outlineLevel="0" collapsed="false">
      <c r="A5" s="5" t="s">
        <v>11</v>
      </c>
      <c r="B5" s="5" t="s">
        <v>12</v>
      </c>
      <c r="C5" s="6" t="n">
        <v>12.5</v>
      </c>
      <c r="D5" s="6" t="n">
        <v>11</v>
      </c>
      <c r="E5" s="6" t="n">
        <v>18</v>
      </c>
      <c r="F5" s="6" t="n">
        <v>0.06</v>
      </c>
      <c r="G5" s="6" t="n">
        <v>0.35</v>
      </c>
      <c r="H5" s="7" t="n">
        <v>3.5</v>
      </c>
      <c r="I5" s="8" t="n">
        <v>88</v>
      </c>
    </row>
    <row r="6" customFormat="false" ht="15" hidden="false" customHeight="true" outlineLevel="0" collapsed="false">
      <c r="A6" s="9" t="s">
        <v>13</v>
      </c>
      <c r="B6" s="9" t="s">
        <v>12</v>
      </c>
      <c r="C6" s="10" t="n">
        <v>12.8</v>
      </c>
      <c r="D6" s="10" t="n">
        <v>11.5</v>
      </c>
      <c r="E6" s="10" t="n">
        <v>20</v>
      </c>
      <c r="F6" s="10" t="n">
        <v>0.05</v>
      </c>
      <c r="G6" s="10" t="n">
        <v>0.35</v>
      </c>
      <c r="H6" s="11" t="n">
        <v>3.2</v>
      </c>
      <c r="I6" s="12" t="n">
        <v>88</v>
      </c>
    </row>
    <row r="7" customFormat="false" ht="15" hidden="false" customHeight="true" outlineLevel="0" collapsed="false">
      <c r="A7" s="5" t="s">
        <v>14</v>
      </c>
      <c r="B7" s="5" t="s">
        <v>12</v>
      </c>
      <c r="C7" s="6" t="n">
        <v>13.2</v>
      </c>
      <c r="D7" s="6" t="n">
        <v>12.5</v>
      </c>
      <c r="E7" s="6" t="n">
        <v>14</v>
      </c>
      <c r="F7" s="6" t="n">
        <v>0.05</v>
      </c>
      <c r="G7" s="6" t="n">
        <v>0.4</v>
      </c>
      <c r="H7" s="7" t="n">
        <v>4</v>
      </c>
      <c r="I7" s="8" t="n">
        <v>88</v>
      </c>
    </row>
    <row r="8" customFormat="false" ht="15" hidden="false" customHeight="true" outlineLevel="0" collapsed="false">
      <c r="A8" s="9" t="s">
        <v>15</v>
      </c>
      <c r="B8" s="9" t="s">
        <v>16</v>
      </c>
      <c r="C8" s="10" t="n">
        <v>12</v>
      </c>
      <c r="D8" s="10" t="n">
        <v>32</v>
      </c>
      <c r="E8" s="10" t="n">
        <v>25</v>
      </c>
      <c r="F8" s="10" t="n">
        <v>0.25</v>
      </c>
      <c r="G8" s="10" t="n">
        <v>0.4</v>
      </c>
      <c r="H8" s="11" t="n">
        <v>5.5</v>
      </c>
      <c r="I8" s="12" t="n">
        <v>89</v>
      </c>
    </row>
    <row r="9" customFormat="false" ht="15" hidden="false" customHeight="true" outlineLevel="0" collapsed="false">
      <c r="A9" s="5" t="s">
        <v>17</v>
      </c>
      <c r="B9" s="5" t="s">
        <v>18</v>
      </c>
      <c r="C9" s="6" t="n">
        <v>8.5</v>
      </c>
      <c r="D9" s="6" t="n">
        <v>18</v>
      </c>
      <c r="E9" s="6" t="n">
        <v>42</v>
      </c>
      <c r="F9" s="6" t="n">
        <v>1.4</v>
      </c>
      <c r="G9" s="6" t="n">
        <v>0.25</v>
      </c>
      <c r="H9" s="7" t="n">
        <v>2.8</v>
      </c>
      <c r="I9" s="8" t="n">
        <v>90</v>
      </c>
    </row>
    <row r="10" customFormat="false" ht="15" hidden="false" customHeight="true" outlineLevel="0" collapsed="false">
      <c r="A10" s="9" t="s">
        <v>19</v>
      </c>
      <c r="B10" s="9" t="s">
        <v>20</v>
      </c>
      <c r="C10" s="10" t="n">
        <v>13.8</v>
      </c>
      <c r="D10" s="10" t="n">
        <v>9</v>
      </c>
      <c r="E10" s="10" t="n">
        <v>11</v>
      </c>
      <c r="F10" s="10" t="n">
        <v>0.03</v>
      </c>
      <c r="G10" s="10" t="n">
        <v>0.28</v>
      </c>
      <c r="H10" s="11" t="n">
        <v>4.8</v>
      </c>
      <c r="I10" s="12" t="n">
        <v>87</v>
      </c>
    </row>
    <row r="11" customFormat="false" ht="15" hidden="false" customHeight="true" outlineLevel="0" collapsed="false">
      <c r="A11" s="5" t="s">
        <v>21</v>
      </c>
      <c r="B11" s="5" t="s">
        <v>20</v>
      </c>
      <c r="C11" s="6" t="n">
        <v>12</v>
      </c>
      <c r="D11" s="6" t="n">
        <v>11</v>
      </c>
      <c r="E11" s="6" t="n">
        <v>32</v>
      </c>
      <c r="F11" s="6" t="n">
        <v>0.05</v>
      </c>
      <c r="G11" s="6" t="n">
        <v>0.8</v>
      </c>
      <c r="H11" s="7" t="n">
        <v>3.6</v>
      </c>
      <c r="I11" s="8" t="n">
        <v>88</v>
      </c>
    </row>
    <row r="12" customFormat="false" ht="15" hidden="false" customHeight="true" outlineLevel="0" collapsed="false">
      <c r="A12" s="9" t="s">
        <v>22</v>
      </c>
      <c r="B12" s="9" t="s">
        <v>20</v>
      </c>
      <c r="C12" s="10" t="n">
        <v>10.5</v>
      </c>
      <c r="D12" s="10" t="n">
        <v>5</v>
      </c>
      <c r="E12" s="10" t="n">
        <v>15</v>
      </c>
      <c r="F12" s="10" t="n">
        <v>0.9</v>
      </c>
      <c r="G12" s="10" t="n">
        <v>0.1</v>
      </c>
      <c r="H12" s="11" t="n">
        <v>2.5</v>
      </c>
      <c r="I12" s="12" t="n">
        <v>75</v>
      </c>
    </row>
    <row r="13" customFormat="false" ht="15" hidden="false" customHeight="true" outlineLevel="0" collapsed="false">
      <c r="A13" s="5" t="s">
        <v>23</v>
      </c>
      <c r="B13" s="5" t="s">
        <v>24</v>
      </c>
      <c r="C13" s="6" t="n">
        <v>11.5</v>
      </c>
      <c r="D13" s="6" t="n">
        <v>41</v>
      </c>
      <c r="E13" s="6" t="n">
        <v>30</v>
      </c>
      <c r="F13" s="6" t="n">
        <v>0.2</v>
      </c>
      <c r="G13" s="6" t="n">
        <v>1.1</v>
      </c>
      <c r="H13" s="7" t="n">
        <v>6.5</v>
      </c>
      <c r="I13" s="8" t="n">
        <v>90</v>
      </c>
    </row>
    <row r="14" customFormat="false" ht="15" hidden="false" customHeight="true" outlineLevel="0" collapsed="false">
      <c r="A14" s="9" t="s">
        <v>25</v>
      </c>
      <c r="B14" s="9" t="s">
        <v>24</v>
      </c>
      <c r="C14" s="10" t="n">
        <v>10</v>
      </c>
      <c r="D14" s="10" t="n">
        <v>34</v>
      </c>
      <c r="E14" s="10" t="n">
        <v>35</v>
      </c>
      <c r="F14" s="10" t="n">
        <v>0.35</v>
      </c>
      <c r="G14" s="10" t="n">
        <v>1</v>
      </c>
      <c r="H14" s="11" t="n">
        <v>5.8</v>
      </c>
      <c r="I14" s="12" t="n">
        <v>90</v>
      </c>
    </row>
    <row r="15" customFormat="false" ht="15" hidden="false" customHeight="true" outlineLevel="0" collapsed="false">
      <c r="A15" s="5" t="s">
        <v>26</v>
      </c>
      <c r="B15" s="5" t="s">
        <v>24</v>
      </c>
      <c r="C15" s="6" t="n">
        <v>13</v>
      </c>
      <c r="D15" s="6" t="n">
        <v>46</v>
      </c>
      <c r="E15" s="6" t="n">
        <v>14</v>
      </c>
      <c r="F15" s="6" t="n">
        <v>0.3</v>
      </c>
      <c r="G15" s="6" t="n">
        <v>0.65</v>
      </c>
      <c r="H15" s="7" t="n">
        <v>9.5</v>
      </c>
      <c r="I15" s="8" t="n">
        <v>89</v>
      </c>
    </row>
    <row r="16" customFormat="false" ht="15" hidden="false" customHeight="true" outlineLevel="0" collapsed="false">
      <c r="A16" s="9" t="s">
        <v>27</v>
      </c>
      <c r="B16" s="9" t="s">
        <v>24</v>
      </c>
      <c r="C16" s="10" t="n">
        <v>12</v>
      </c>
      <c r="D16" s="10" t="n">
        <v>63</v>
      </c>
      <c r="E16" s="10" t="n">
        <v>5</v>
      </c>
      <c r="F16" s="10" t="n">
        <v>5</v>
      </c>
      <c r="G16" s="10" t="n">
        <v>2.8</v>
      </c>
      <c r="H16" s="11" t="n">
        <v>18</v>
      </c>
      <c r="I16" s="12" t="n">
        <v>92</v>
      </c>
    </row>
    <row r="17" customFormat="false" ht="15" hidden="false" customHeight="true" outlineLevel="0" collapsed="false">
      <c r="A17" s="5" t="s">
        <v>28</v>
      </c>
      <c r="B17" s="5" t="s">
        <v>29</v>
      </c>
      <c r="C17" s="6" t="n">
        <v>0</v>
      </c>
      <c r="D17" s="6" t="n">
        <v>287</v>
      </c>
      <c r="E17" s="6" t="n">
        <v>0</v>
      </c>
      <c r="F17" s="6" t="n">
        <v>0</v>
      </c>
      <c r="G17" s="6" t="n">
        <v>0</v>
      </c>
      <c r="H17" s="7" t="n">
        <v>8</v>
      </c>
      <c r="I17" s="8" t="n">
        <v>99</v>
      </c>
    </row>
    <row r="18" customFormat="false" ht="15" hidden="false" customHeight="true" outlineLevel="0" collapsed="false">
      <c r="A18" s="9" t="s">
        <v>30</v>
      </c>
      <c r="B18" s="9" t="s">
        <v>31</v>
      </c>
      <c r="C18" s="10" t="n">
        <v>0</v>
      </c>
      <c r="D18" s="10" t="n">
        <v>0</v>
      </c>
      <c r="E18" s="10" t="n">
        <v>0</v>
      </c>
      <c r="F18" s="10" t="n">
        <v>0</v>
      </c>
      <c r="G18" s="10" t="n">
        <v>0</v>
      </c>
      <c r="H18" s="11" t="n">
        <v>1.2</v>
      </c>
      <c r="I18" s="12" t="n">
        <v>99</v>
      </c>
    </row>
    <row r="19" customFormat="false" ht="15" hidden="false" customHeight="true" outlineLevel="0" collapsed="false">
      <c r="A19" s="5" t="s">
        <v>32</v>
      </c>
      <c r="B19" s="5" t="s">
        <v>31</v>
      </c>
      <c r="C19" s="6" t="n">
        <v>0</v>
      </c>
      <c r="D19" s="6" t="n">
        <v>0</v>
      </c>
      <c r="E19" s="6" t="n">
        <v>0</v>
      </c>
      <c r="F19" s="6" t="n">
        <v>38</v>
      </c>
      <c r="G19" s="6" t="n">
        <v>0</v>
      </c>
      <c r="H19" s="7" t="n">
        <v>0.8</v>
      </c>
      <c r="I19" s="8" t="n">
        <v>99</v>
      </c>
    </row>
    <row r="20" customFormat="false" ht="15" hidden="false" customHeight="true" outlineLevel="0" collapsed="false">
      <c r="A20" s="9" t="s">
        <v>33</v>
      </c>
      <c r="B20" s="9" t="s">
        <v>31</v>
      </c>
      <c r="C20" s="10" t="n">
        <v>0</v>
      </c>
      <c r="D20" s="10" t="n">
        <v>0</v>
      </c>
      <c r="E20" s="10" t="n">
        <v>0</v>
      </c>
      <c r="F20" s="10" t="n">
        <v>16</v>
      </c>
      <c r="G20" s="10" t="n">
        <v>21</v>
      </c>
      <c r="H20" s="11" t="n">
        <v>12</v>
      </c>
      <c r="I20" s="12" t="n">
        <v>99</v>
      </c>
    </row>
    <row r="21" customFormat="false" ht="15" hidden="false" customHeight="true" outlineLevel="0" collapsed="false">
      <c r="A21" s="5" t="s">
        <v>34</v>
      </c>
      <c r="B21" s="5" t="s">
        <v>35</v>
      </c>
      <c r="C21" s="6" t="n">
        <v>0</v>
      </c>
      <c r="D21" s="6" t="n">
        <v>0</v>
      </c>
      <c r="E21" s="6" t="n">
        <v>0</v>
      </c>
      <c r="F21" s="6" t="n">
        <v>0</v>
      </c>
      <c r="G21" s="6" t="n">
        <v>0</v>
      </c>
      <c r="H21" s="7" t="n">
        <v>35</v>
      </c>
      <c r="I21" s="8" t="n">
        <v>99</v>
      </c>
    </row>
    <row r="22" customFormat="false" ht="15" hidden="false" customHeight="true" outlineLevel="0" collapsed="false">
      <c r="A22" s="9" t="s">
        <v>36</v>
      </c>
      <c r="B22" s="9" t="s">
        <v>37</v>
      </c>
      <c r="C22" s="10" t="n">
        <v>10.5</v>
      </c>
      <c r="D22" s="10" t="n">
        <v>16</v>
      </c>
      <c r="E22" s="10" t="n">
        <v>40</v>
      </c>
      <c r="F22" s="10" t="n">
        <v>0.45</v>
      </c>
      <c r="G22" s="10" t="n">
        <v>0.35</v>
      </c>
      <c r="H22" s="11" t="n">
        <v>0</v>
      </c>
      <c r="I22" s="12" t="n">
        <v>22</v>
      </c>
    </row>
    <row r="23" customFormat="false" ht="15" hidden="false" customHeight="true" outlineLevel="0" collapsed="false">
      <c r="A23" s="5" t="s">
        <v>38</v>
      </c>
      <c r="B23" s="5" t="s">
        <v>37</v>
      </c>
      <c r="C23" s="6" t="n">
        <v>10</v>
      </c>
      <c r="D23" s="6" t="n">
        <v>14</v>
      </c>
      <c r="E23" s="6" t="n">
        <v>45</v>
      </c>
      <c r="F23" s="6" t="n">
        <v>0.4</v>
      </c>
      <c r="G23" s="6" t="n">
        <v>0.3</v>
      </c>
      <c r="H23" s="7" t="n">
        <v>0</v>
      </c>
      <c r="I23" s="8" t="n">
        <v>20</v>
      </c>
    </row>
    <row r="24" customFormat="false" ht="15" hidden="false" customHeight="true" outlineLevel="0" collapsed="false">
      <c r="A24" s="9" t="s">
        <v>39</v>
      </c>
      <c r="B24" s="9" t="s">
        <v>37</v>
      </c>
      <c r="C24" s="10" t="n">
        <v>7.5</v>
      </c>
      <c r="D24" s="10" t="n">
        <v>6</v>
      </c>
      <c r="E24" s="10" t="n">
        <v>65</v>
      </c>
      <c r="F24" s="10" t="n">
        <v>0.3</v>
      </c>
      <c r="G24" s="10" t="n">
        <v>0.15</v>
      </c>
      <c r="H24" s="11" t="n">
        <v>0</v>
      </c>
      <c r="I24" s="12" t="n">
        <v>35</v>
      </c>
    </row>
    <row r="25" customFormat="false" ht="15" hidden="false" customHeight="true" outlineLevel="0" collapsed="false">
      <c r="A25" s="5" t="s">
        <v>40</v>
      </c>
      <c r="B25" s="5" t="s">
        <v>18</v>
      </c>
      <c r="C25" s="6" t="n">
        <v>5.5</v>
      </c>
      <c r="D25" s="6" t="n">
        <v>3.5</v>
      </c>
      <c r="E25" s="6" t="n">
        <v>78</v>
      </c>
      <c r="F25" s="6" t="n">
        <v>0.2</v>
      </c>
      <c r="G25" s="6" t="n">
        <v>0.06</v>
      </c>
      <c r="H25" s="7" t="n">
        <v>1</v>
      </c>
      <c r="I25" s="8" t="n">
        <v>90</v>
      </c>
    </row>
    <row r="27" customFormat="false" ht="15" hidden="false" customHeight="true" outlineLevel="0" collapsed="false">
      <c r="A27" s="13" t="s">
        <v>41</v>
      </c>
    </row>
    <row r="28" customFormat="false" ht="15" hidden="false" customHeight="true" outlineLevel="0" collapsed="false">
      <c r="A28" s="3" t="s">
        <v>42</v>
      </c>
    </row>
    <row r="29" customFormat="false" ht="15" hidden="false" customHeight="true" outlineLevel="0" collapsed="false">
      <c r="A29" s="3" t="s">
        <v>43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2B21"/>
    <pageSetUpPr fitToPage="false"/>
  </sheetPr>
  <dimension ref="A1:L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2"/>
    <col collapsed="false" customWidth="true" hidden="false" outlineLevel="0" max="12" min="3" style="1" width="16"/>
  </cols>
  <sheetData>
    <row r="1" customFormat="false" ht="30" hidden="false" customHeight="true" outlineLevel="0" collapsed="false">
      <c r="A1" s="2" t="s">
        <v>44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true" outlineLevel="0" collapsed="false">
      <c r="A2" s="3" t="s">
        <v>45</v>
      </c>
    </row>
    <row r="4" customFormat="false" ht="15" hidden="false" customHeight="true" outlineLevel="0" collapsed="false">
      <c r="A4" s="13" t="s">
        <v>46</v>
      </c>
      <c r="B4" s="14" t="n">
        <v>60</v>
      </c>
      <c r="C4" s="15" t="s">
        <v>47</v>
      </c>
    </row>
    <row r="6" customFormat="false" ht="23.25" hidden="false" customHeight="true" outlineLevel="0" collapsed="false">
      <c r="A6" s="16" t="s">
        <v>48</v>
      </c>
      <c r="B6" s="16" t="s">
        <v>49</v>
      </c>
      <c r="C6" s="16" t="s">
        <v>50</v>
      </c>
      <c r="D6" s="16" t="s">
        <v>51</v>
      </c>
      <c r="E6" s="16" t="s">
        <v>52</v>
      </c>
      <c r="F6" s="16" t="s">
        <v>53</v>
      </c>
      <c r="G6" s="16" t="s">
        <v>54</v>
      </c>
      <c r="H6" s="16" t="s">
        <v>55</v>
      </c>
      <c r="I6" s="16" t="s">
        <v>56</v>
      </c>
      <c r="J6" s="16" t="s">
        <v>57</v>
      </c>
      <c r="K6" s="16" t="s">
        <v>58</v>
      </c>
      <c r="L6" s="16" t="s">
        <v>59</v>
      </c>
    </row>
    <row r="7" customFormat="false" ht="15" hidden="false" customHeight="true" outlineLevel="0" collapsed="false">
      <c r="A7" s="17" t="s">
        <v>60</v>
      </c>
      <c r="B7" s="17" t="s">
        <v>61</v>
      </c>
      <c r="C7" s="18" t="n">
        <v>1.09</v>
      </c>
      <c r="D7" s="19" t="n">
        <v>7.2</v>
      </c>
      <c r="E7" s="20" t="n">
        <v>104</v>
      </c>
      <c r="F7" s="21" t="n">
        <v>9.5</v>
      </c>
      <c r="G7" s="21" t="n">
        <v>54.2</v>
      </c>
      <c r="H7" s="19" t="n">
        <v>2.3</v>
      </c>
      <c r="I7" s="19" t="n">
        <v>2.3</v>
      </c>
      <c r="J7" s="17" t="s">
        <v>62</v>
      </c>
      <c r="K7" s="22" t="n">
        <v>2820</v>
      </c>
      <c r="L7" s="22" t="n">
        <v>16</v>
      </c>
    </row>
    <row r="8" customFormat="false" ht="15" hidden="false" customHeight="true" outlineLevel="0" collapsed="false">
      <c r="A8" s="9" t="s">
        <v>63</v>
      </c>
      <c r="B8" s="9" t="s">
        <v>64</v>
      </c>
      <c r="C8" s="10" t="n">
        <v>1.68</v>
      </c>
      <c r="D8" s="23" t="n">
        <v>12.2</v>
      </c>
      <c r="E8" s="12" t="n">
        <v>154</v>
      </c>
      <c r="F8" s="24" t="n">
        <v>9.2</v>
      </c>
      <c r="G8" s="24" t="n">
        <v>59.5</v>
      </c>
      <c r="H8" s="23" t="n">
        <v>5.4</v>
      </c>
      <c r="I8" s="23" t="n">
        <v>2.7</v>
      </c>
      <c r="J8" s="9" t="s">
        <v>65</v>
      </c>
      <c r="K8" s="25" t="n">
        <v>2820</v>
      </c>
      <c r="L8" s="25" t="n">
        <v>26</v>
      </c>
    </row>
    <row r="9" customFormat="false" ht="15" hidden="false" customHeight="true" outlineLevel="0" collapsed="false">
      <c r="A9" s="17" t="s">
        <v>66</v>
      </c>
      <c r="B9" s="17" t="s">
        <v>67</v>
      </c>
      <c r="C9" s="18" t="n">
        <v>1.32</v>
      </c>
      <c r="D9" s="19" t="n">
        <v>8.9</v>
      </c>
      <c r="E9" s="20" t="n">
        <v>122</v>
      </c>
      <c r="F9" s="21" t="n">
        <v>9.3</v>
      </c>
      <c r="G9" s="21" t="n">
        <v>55.2</v>
      </c>
      <c r="H9" s="19" t="n">
        <v>3.2</v>
      </c>
      <c r="I9" s="19" t="n">
        <v>2.3</v>
      </c>
      <c r="J9" s="17" t="s">
        <v>68</v>
      </c>
      <c r="K9" s="22" t="n">
        <v>2820</v>
      </c>
      <c r="L9" s="22" t="n">
        <v>20</v>
      </c>
    </row>
    <row r="10" customFormat="false" ht="23.25" hidden="false" customHeight="true" outlineLevel="0" collapsed="false">
      <c r="A10" s="9" t="s">
        <v>69</v>
      </c>
      <c r="B10" s="9" t="s">
        <v>70</v>
      </c>
      <c r="C10" s="10" t="n">
        <v>1.68</v>
      </c>
      <c r="D10" s="23" t="n">
        <v>12.2</v>
      </c>
      <c r="E10" s="12" t="n">
        <v>181</v>
      </c>
      <c r="F10" s="24" t="n">
        <v>10.8</v>
      </c>
      <c r="G10" s="24" t="n">
        <v>59.5</v>
      </c>
      <c r="H10" s="23" t="n">
        <v>5.9</v>
      </c>
      <c r="I10" s="23" t="n">
        <v>5</v>
      </c>
      <c r="J10" s="9" t="s">
        <v>71</v>
      </c>
      <c r="K10" s="25" t="n">
        <v>5100</v>
      </c>
      <c r="L10" s="25" t="n">
        <v>26</v>
      </c>
    </row>
    <row r="11" customFormat="false" ht="23.25" hidden="false" customHeight="true" outlineLevel="0" collapsed="false">
      <c r="A11" s="17" t="s">
        <v>72</v>
      </c>
      <c r="B11" s="17" t="s">
        <v>73</v>
      </c>
      <c r="C11" s="18" t="n">
        <v>1.81</v>
      </c>
      <c r="D11" s="19" t="n">
        <v>14.4</v>
      </c>
      <c r="E11" s="20" t="n">
        <v>204</v>
      </c>
      <c r="F11" s="21" t="n">
        <v>11.2</v>
      </c>
      <c r="G11" s="21" t="n">
        <v>65</v>
      </c>
      <c r="H11" s="19" t="n">
        <v>6.8</v>
      </c>
      <c r="I11" s="19" t="n">
        <v>3.6</v>
      </c>
      <c r="J11" s="17" t="s">
        <v>74</v>
      </c>
      <c r="K11" s="22" t="n">
        <v>5100</v>
      </c>
      <c r="L11" s="22" t="n">
        <v>27</v>
      </c>
    </row>
    <row r="12" customFormat="false" ht="23.25" hidden="false" customHeight="true" outlineLevel="0" collapsed="false">
      <c r="A12" s="9" t="s">
        <v>75</v>
      </c>
      <c r="B12" s="9" t="s">
        <v>76</v>
      </c>
      <c r="C12" s="10" t="n">
        <v>2.31</v>
      </c>
      <c r="D12" s="23" t="n">
        <v>18.3</v>
      </c>
      <c r="E12" s="12" t="n">
        <v>318</v>
      </c>
      <c r="F12" s="24" t="n">
        <v>13.7</v>
      </c>
      <c r="G12" s="24" t="n">
        <v>64.7</v>
      </c>
      <c r="H12" s="23" t="n">
        <v>9.1</v>
      </c>
      <c r="I12" s="23" t="n">
        <v>6.4</v>
      </c>
      <c r="J12" s="9" t="s">
        <v>68</v>
      </c>
      <c r="K12" s="25" t="n">
        <v>5100</v>
      </c>
      <c r="L12" s="25" t="n">
        <v>34</v>
      </c>
    </row>
    <row r="13" customFormat="false" ht="23.25" hidden="false" customHeight="true" outlineLevel="0" collapsed="false">
      <c r="A13" s="17" t="s">
        <v>77</v>
      </c>
      <c r="B13" s="17" t="s">
        <v>78</v>
      </c>
      <c r="C13" s="18" t="n">
        <v>2.59</v>
      </c>
      <c r="D13" s="19" t="n">
        <v>20.5</v>
      </c>
      <c r="E13" s="20" t="n">
        <v>404</v>
      </c>
      <c r="F13" s="21" t="n">
        <v>15.6</v>
      </c>
      <c r="G13" s="21" t="n">
        <v>64.9</v>
      </c>
      <c r="H13" s="19" t="n">
        <v>10.4</v>
      </c>
      <c r="I13" s="19" t="n">
        <v>7.7</v>
      </c>
      <c r="J13" s="17" t="s">
        <v>68</v>
      </c>
      <c r="K13" s="22" t="n">
        <v>6000</v>
      </c>
      <c r="L13" s="22" t="n">
        <v>39</v>
      </c>
    </row>
    <row r="14" customFormat="false" ht="23.25" hidden="false" customHeight="true" outlineLevel="0" collapsed="false">
      <c r="A14" s="9" t="s">
        <v>79</v>
      </c>
      <c r="B14" s="9" t="s">
        <v>80</v>
      </c>
      <c r="C14" s="10" t="n">
        <v>2.31</v>
      </c>
      <c r="D14" s="23" t="n">
        <v>18.3</v>
      </c>
      <c r="E14" s="12" t="n">
        <v>318</v>
      </c>
      <c r="F14" s="24" t="n">
        <v>13.7</v>
      </c>
      <c r="G14" s="24" t="n">
        <v>64.7</v>
      </c>
      <c r="H14" s="23" t="n">
        <v>9.1</v>
      </c>
      <c r="I14" s="23" t="n">
        <v>6.4</v>
      </c>
      <c r="J14" s="9" t="s">
        <v>68</v>
      </c>
      <c r="K14" s="25" t="n">
        <v>5100</v>
      </c>
      <c r="L14" s="25" t="n">
        <v>34</v>
      </c>
    </row>
    <row r="15" customFormat="false" ht="23.25" hidden="false" customHeight="true" outlineLevel="0" collapsed="false">
      <c r="A15" s="17" t="s">
        <v>81</v>
      </c>
      <c r="B15" s="17" t="s">
        <v>82</v>
      </c>
      <c r="C15" s="18" t="n">
        <v>2.59</v>
      </c>
      <c r="D15" s="19" t="n">
        <v>20.5</v>
      </c>
      <c r="E15" s="20" t="n">
        <v>404</v>
      </c>
      <c r="F15" s="21" t="n">
        <v>15.6</v>
      </c>
      <c r="G15" s="21" t="n">
        <v>64.9</v>
      </c>
      <c r="H15" s="19" t="n">
        <v>10.4</v>
      </c>
      <c r="I15" s="19" t="n">
        <v>7.7</v>
      </c>
      <c r="J15" s="17" t="s">
        <v>68</v>
      </c>
      <c r="K15" s="22" t="n">
        <v>6000</v>
      </c>
      <c r="L15" s="22" t="n">
        <v>39</v>
      </c>
    </row>
    <row r="16" customFormat="false" ht="15" hidden="false" customHeight="true" outlineLevel="0" collapsed="false">
      <c r="A16" s="9" t="s">
        <v>83</v>
      </c>
      <c r="B16" s="9" t="s">
        <v>84</v>
      </c>
      <c r="C16" s="10" t="n">
        <v>1.68</v>
      </c>
      <c r="D16" s="23" t="n">
        <v>12.2</v>
      </c>
      <c r="E16" s="12" t="n">
        <v>181</v>
      </c>
      <c r="F16" s="24" t="n">
        <v>10.8</v>
      </c>
      <c r="G16" s="24" t="n">
        <v>59.5</v>
      </c>
      <c r="H16" s="23" t="n">
        <v>5.9</v>
      </c>
      <c r="I16" s="23" t="n">
        <v>5</v>
      </c>
      <c r="J16" s="9" t="s">
        <v>71</v>
      </c>
      <c r="K16" s="25" t="n">
        <v>5100</v>
      </c>
      <c r="L16" s="25" t="n">
        <v>26</v>
      </c>
    </row>
    <row r="17" customFormat="false" ht="15" hidden="false" customHeight="true" outlineLevel="0" collapsed="false">
      <c r="A17" s="17" t="s">
        <v>85</v>
      </c>
      <c r="B17" s="17" t="s">
        <v>86</v>
      </c>
      <c r="C17" s="18" t="n">
        <v>2.31</v>
      </c>
      <c r="D17" s="19" t="n">
        <v>18.3</v>
      </c>
      <c r="E17" s="20" t="n">
        <v>318</v>
      </c>
      <c r="F17" s="21" t="n">
        <v>13.7</v>
      </c>
      <c r="G17" s="21" t="n">
        <v>64.7</v>
      </c>
      <c r="H17" s="19" t="n">
        <v>9.1</v>
      </c>
      <c r="I17" s="19" t="n">
        <v>6.4</v>
      </c>
      <c r="J17" s="17" t="s">
        <v>68</v>
      </c>
      <c r="K17" s="22" t="n">
        <v>5100</v>
      </c>
      <c r="L17" s="22" t="n">
        <v>34</v>
      </c>
    </row>
    <row r="18" customFormat="false" ht="23.25" hidden="false" customHeight="true" outlineLevel="0" collapsed="false">
      <c r="A18" s="9" t="s">
        <v>87</v>
      </c>
      <c r="B18" s="9" t="s">
        <v>88</v>
      </c>
      <c r="C18" s="10" t="n">
        <v>1.18</v>
      </c>
      <c r="D18" s="23" t="n">
        <v>10.9</v>
      </c>
      <c r="E18" s="12" t="n">
        <v>177</v>
      </c>
      <c r="F18" s="24" t="n">
        <v>15</v>
      </c>
      <c r="G18" s="24" t="n">
        <v>65</v>
      </c>
      <c r="H18" s="23" t="n">
        <v>5.9</v>
      </c>
      <c r="I18" s="23" t="n">
        <v>2.7</v>
      </c>
      <c r="J18" s="9" t="s">
        <v>89</v>
      </c>
      <c r="K18" s="25" t="n">
        <v>1410</v>
      </c>
      <c r="L18" s="25" t="n">
        <v>20</v>
      </c>
    </row>
    <row r="19" customFormat="false" ht="23.25" hidden="false" customHeight="true" outlineLevel="0" collapsed="false">
      <c r="A19" s="17" t="s">
        <v>90</v>
      </c>
      <c r="B19" s="17" t="s">
        <v>91</v>
      </c>
      <c r="C19" s="18" t="n">
        <v>1.41</v>
      </c>
      <c r="D19" s="19" t="n">
        <v>10</v>
      </c>
      <c r="E19" s="20" t="n">
        <v>136</v>
      </c>
      <c r="F19" s="21" t="n">
        <v>9.6</v>
      </c>
      <c r="G19" s="21" t="n">
        <v>57.6</v>
      </c>
      <c r="H19" s="19" t="n">
        <v>5</v>
      </c>
      <c r="I19" s="19" t="n">
        <v>2.3</v>
      </c>
      <c r="J19" s="17" t="s">
        <v>89</v>
      </c>
      <c r="K19" s="22" t="n">
        <v>2350</v>
      </c>
      <c r="L19" s="22" t="n">
        <v>22</v>
      </c>
    </row>
    <row r="20" customFormat="false" ht="15" hidden="false" customHeight="true" outlineLevel="0" collapsed="false">
      <c r="A20" s="9" t="s">
        <v>92</v>
      </c>
      <c r="B20" s="9" t="s">
        <v>93</v>
      </c>
      <c r="C20" s="10" t="n">
        <v>2.04</v>
      </c>
      <c r="D20" s="23" t="n">
        <v>14.4</v>
      </c>
      <c r="E20" s="12" t="n">
        <v>190</v>
      </c>
      <c r="F20" s="24" t="n">
        <v>9.3</v>
      </c>
      <c r="G20" s="24" t="n">
        <v>54.5</v>
      </c>
      <c r="H20" s="23" t="n">
        <v>5.4</v>
      </c>
      <c r="I20" s="23" t="n">
        <v>5.4</v>
      </c>
      <c r="J20" s="9" t="s">
        <v>62</v>
      </c>
      <c r="K20" s="25" t="n">
        <v>3760</v>
      </c>
      <c r="L20" s="25" t="n">
        <v>20</v>
      </c>
    </row>
    <row r="22" customFormat="false" ht="15" hidden="false" customHeight="true" outlineLevel="0" collapsed="false">
      <c r="A22" s="26" t="s">
        <v>94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</row>
    <row r="23" customFormat="false" ht="23.25" hidden="false" customHeight="true" outlineLevel="0" collapsed="false">
      <c r="A23" s="27" t="s">
        <v>95</v>
      </c>
      <c r="B23" s="27" t="s">
        <v>96</v>
      </c>
      <c r="C23" s="27" t="s">
        <v>97</v>
      </c>
      <c r="D23" s="27" t="s">
        <v>98</v>
      </c>
      <c r="E23" s="27" t="s">
        <v>99</v>
      </c>
      <c r="F23" s="27" t="s">
        <v>100</v>
      </c>
      <c r="G23" s="27" t="s">
        <v>101</v>
      </c>
    </row>
    <row r="24" customFormat="false" ht="15" hidden="false" customHeight="true" outlineLevel="0" collapsed="false">
      <c r="A24" s="5" t="s">
        <v>102</v>
      </c>
      <c r="B24" s="5" t="s">
        <v>103</v>
      </c>
      <c r="C24" s="28" t="n">
        <v>1.2</v>
      </c>
      <c r="D24" s="28" t="n">
        <v>12.6</v>
      </c>
      <c r="E24" s="28" t="n">
        <v>192</v>
      </c>
      <c r="F24" s="28" t="n">
        <v>5.4</v>
      </c>
      <c r="G24" s="28" t="n">
        <v>4.2</v>
      </c>
    </row>
    <row r="25" customFormat="false" ht="15" hidden="false" customHeight="true" outlineLevel="0" collapsed="false">
      <c r="A25" s="9" t="s">
        <v>104</v>
      </c>
      <c r="B25" s="9" t="s">
        <v>105</v>
      </c>
      <c r="C25" s="23" t="n">
        <v>1</v>
      </c>
      <c r="D25" s="23" t="n">
        <v>10.5</v>
      </c>
      <c r="E25" s="23" t="n">
        <v>160</v>
      </c>
      <c r="F25" s="23" t="n">
        <v>4.5</v>
      </c>
      <c r="G25" s="23" t="n">
        <v>3.5</v>
      </c>
    </row>
    <row r="26" customFormat="false" ht="15" hidden="false" customHeight="true" outlineLevel="0" collapsed="false">
      <c r="A26" s="5" t="s">
        <v>106</v>
      </c>
      <c r="B26" s="5" t="s">
        <v>103</v>
      </c>
      <c r="C26" s="28" t="n">
        <v>1.1</v>
      </c>
      <c r="D26" s="28" t="n">
        <v>11</v>
      </c>
      <c r="E26" s="28" t="n">
        <v>154</v>
      </c>
      <c r="F26" s="28" t="n">
        <v>4.4</v>
      </c>
      <c r="G26" s="28" t="n">
        <v>3.3</v>
      </c>
    </row>
    <row r="27" customFormat="false" ht="15" hidden="false" customHeight="true" outlineLevel="0" collapsed="false">
      <c r="A27" s="9" t="s">
        <v>107</v>
      </c>
      <c r="B27" s="9" t="s">
        <v>108</v>
      </c>
      <c r="C27" s="23" t="n">
        <v>1</v>
      </c>
      <c r="D27" s="23" t="n">
        <v>7.5</v>
      </c>
      <c r="E27" s="23" t="n">
        <v>60</v>
      </c>
      <c r="F27" s="23" t="n">
        <v>3</v>
      </c>
      <c r="G27" s="23" t="n">
        <v>1.5</v>
      </c>
    </row>
    <row r="28" customFormat="false" ht="15" hidden="false" customHeight="true" outlineLevel="0" collapsed="false">
      <c r="A28" s="5" t="s">
        <v>109</v>
      </c>
      <c r="B28" s="5" t="s">
        <v>110</v>
      </c>
      <c r="C28" s="28" t="n">
        <v>0.8</v>
      </c>
      <c r="D28" s="28" t="n">
        <v>6</v>
      </c>
      <c r="E28" s="28" t="n">
        <v>48</v>
      </c>
      <c r="F28" s="28" t="n">
        <v>2.4</v>
      </c>
      <c r="G28" s="28" t="n">
        <v>1.2</v>
      </c>
    </row>
    <row r="29" customFormat="false" ht="15" hidden="false" customHeight="true" outlineLevel="0" collapsed="false">
      <c r="A29" s="9" t="s">
        <v>111</v>
      </c>
      <c r="B29" s="9" t="s">
        <v>112</v>
      </c>
      <c r="C29" s="23" t="n">
        <v>1.1</v>
      </c>
      <c r="D29" s="23" t="n">
        <v>9.5</v>
      </c>
      <c r="E29" s="23" t="n">
        <v>110</v>
      </c>
      <c r="F29" s="23" t="n">
        <v>4</v>
      </c>
      <c r="G29" s="23" t="n">
        <v>2.5</v>
      </c>
    </row>
    <row r="30" customFormat="false" ht="15" hidden="false" customHeight="true" outlineLevel="0" collapsed="false">
      <c r="A30" s="5" t="s">
        <v>113</v>
      </c>
      <c r="B30" s="5" t="s">
        <v>114</v>
      </c>
      <c r="C30" s="28" t="n">
        <v>1.3</v>
      </c>
      <c r="D30" s="28" t="n">
        <v>11.1</v>
      </c>
      <c r="E30" s="28" t="n">
        <v>234</v>
      </c>
      <c r="F30" s="28" t="n">
        <v>18.2</v>
      </c>
      <c r="G30" s="28" t="n">
        <v>3.3</v>
      </c>
    </row>
    <row r="32" customFormat="false" ht="15" hidden="false" customHeight="true" outlineLevel="0" collapsed="false">
      <c r="A32" s="29" t="s">
        <v>115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</row>
    <row r="33" customFormat="false" ht="15" hidden="false" customHeight="true" outlineLevel="0" collapsed="false">
      <c r="A33" s="3" t="s">
        <v>116</v>
      </c>
    </row>
    <row r="34" customFormat="false" ht="23.25" hidden="false" customHeight="true" outlineLevel="0" collapsed="false">
      <c r="A34" s="30" t="s">
        <v>48</v>
      </c>
      <c r="B34" s="30" t="s">
        <v>117</v>
      </c>
      <c r="C34" s="30" t="s">
        <v>118</v>
      </c>
      <c r="D34" s="30" t="s">
        <v>119</v>
      </c>
      <c r="E34" s="30" t="s">
        <v>120</v>
      </c>
      <c r="F34" s="30" t="s">
        <v>121</v>
      </c>
      <c r="G34" s="30" t="s">
        <v>122</v>
      </c>
      <c r="H34" s="30" t="s">
        <v>123</v>
      </c>
      <c r="I34" s="30" t="s">
        <v>124</v>
      </c>
      <c r="J34" s="30" t="s">
        <v>125</v>
      </c>
      <c r="K34" s="30" t="s">
        <v>126</v>
      </c>
      <c r="L34" s="30" t="s">
        <v>127</v>
      </c>
    </row>
    <row r="35" customFormat="false" ht="15" hidden="false" customHeight="true" outlineLevel="0" collapsed="false">
      <c r="A35" s="31" t="s">
        <v>128</v>
      </c>
      <c r="B35" s="31" t="s">
        <v>129</v>
      </c>
      <c r="C35" s="32" t="n">
        <v>8.9</v>
      </c>
      <c r="D35" s="32" t="n">
        <v>7.5</v>
      </c>
      <c r="E35" s="32" t="n">
        <v>1.4</v>
      </c>
      <c r="F35" s="32" t="n">
        <v>122</v>
      </c>
      <c r="G35" s="32" t="n">
        <v>60</v>
      </c>
      <c r="H35" s="32" t="n">
        <v>62</v>
      </c>
      <c r="I35" s="33" t="n">
        <v>250</v>
      </c>
      <c r="J35" s="32" t="n">
        <v>5.6</v>
      </c>
      <c r="K35" s="32" t="n">
        <v>24.8</v>
      </c>
      <c r="L35" s="31"/>
    </row>
    <row r="36" customFormat="false" ht="15" hidden="false" customHeight="true" outlineLevel="0" collapsed="false">
      <c r="A36" s="9" t="s">
        <v>130</v>
      </c>
      <c r="B36" s="9" t="s">
        <v>129</v>
      </c>
      <c r="C36" s="23" t="n">
        <v>8.9</v>
      </c>
      <c r="D36" s="23" t="n">
        <v>7.5</v>
      </c>
      <c r="E36" s="23" t="n">
        <v>1.4</v>
      </c>
      <c r="F36" s="23" t="n">
        <v>122</v>
      </c>
      <c r="G36" s="23" t="n">
        <v>60</v>
      </c>
      <c r="H36" s="23" t="n">
        <v>62</v>
      </c>
      <c r="I36" s="34" t="n">
        <v>150</v>
      </c>
      <c r="J36" s="23" t="n">
        <v>9.3</v>
      </c>
      <c r="K36" s="23" t="n">
        <v>41.3</v>
      </c>
      <c r="L36" s="9"/>
    </row>
    <row r="37" customFormat="false" ht="15" hidden="false" customHeight="true" outlineLevel="0" collapsed="false">
      <c r="A37" s="31" t="s">
        <v>131</v>
      </c>
      <c r="B37" s="31" t="s">
        <v>132</v>
      </c>
      <c r="C37" s="32" t="n">
        <v>14.4</v>
      </c>
      <c r="D37" s="32" t="n">
        <v>9.5</v>
      </c>
      <c r="E37" s="32" t="n">
        <v>4.9</v>
      </c>
      <c r="F37" s="32" t="n">
        <v>204</v>
      </c>
      <c r="G37" s="32" t="n">
        <v>110</v>
      </c>
      <c r="H37" s="32" t="n">
        <v>94</v>
      </c>
      <c r="I37" s="33" t="n">
        <v>450</v>
      </c>
      <c r="J37" s="32" t="n">
        <v>10.9</v>
      </c>
      <c r="K37" s="32" t="n">
        <v>20.9</v>
      </c>
      <c r="L37" s="31"/>
    </row>
    <row r="38" customFormat="false" ht="15" hidden="false" customHeight="true" outlineLevel="0" collapsed="false">
      <c r="A38" s="9" t="s">
        <v>133</v>
      </c>
      <c r="B38" s="9" t="s">
        <v>132</v>
      </c>
      <c r="C38" s="23" t="n">
        <v>12.2</v>
      </c>
      <c r="D38" s="23" t="n">
        <v>9.5</v>
      </c>
      <c r="E38" s="23" t="n">
        <v>2.7</v>
      </c>
      <c r="F38" s="23" t="n">
        <v>181</v>
      </c>
      <c r="G38" s="23" t="n">
        <v>110</v>
      </c>
      <c r="H38" s="23" t="n">
        <v>71</v>
      </c>
      <c r="I38" s="34" t="n">
        <v>280</v>
      </c>
      <c r="J38" s="23" t="n">
        <v>9.6</v>
      </c>
      <c r="K38" s="23" t="n">
        <v>25.4</v>
      </c>
      <c r="L38" s="9"/>
    </row>
    <row r="39" customFormat="false" ht="15" hidden="false" customHeight="true" outlineLevel="0" collapsed="false">
      <c r="A39" s="31" t="s">
        <v>134</v>
      </c>
      <c r="B39" s="31" t="s">
        <v>135</v>
      </c>
      <c r="C39" s="32" t="n">
        <v>20.5</v>
      </c>
      <c r="D39" s="32" t="n">
        <v>12.6</v>
      </c>
      <c r="E39" s="32" t="n">
        <v>7.9</v>
      </c>
      <c r="F39" s="32" t="n">
        <v>404</v>
      </c>
      <c r="G39" s="32" t="n">
        <v>192</v>
      </c>
      <c r="H39" s="32" t="n">
        <v>212</v>
      </c>
      <c r="I39" s="33" t="n">
        <v>600</v>
      </c>
      <c r="J39" s="32" t="n">
        <v>13.2</v>
      </c>
      <c r="K39" s="32" t="n">
        <v>35.3</v>
      </c>
      <c r="L39" s="31"/>
    </row>
    <row r="40" customFormat="false" ht="15" hidden="false" customHeight="true" outlineLevel="0" collapsed="false">
      <c r="A40" s="9" t="s">
        <v>136</v>
      </c>
      <c r="B40" s="9" t="s">
        <v>135</v>
      </c>
      <c r="C40" s="23" t="n">
        <v>18.3</v>
      </c>
      <c r="D40" s="23" t="n">
        <v>12.6</v>
      </c>
      <c r="E40" s="23" t="n">
        <v>5.7</v>
      </c>
      <c r="F40" s="23" t="n">
        <v>318</v>
      </c>
      <c r="G40" s="23" t="n">
        <v>192</v>
      </c>
      <c r="H40" s="23" t="n">
        <v>126</v>
      </c>
      <c r="I40" s="34" t="n">
        <v>400</v>
      </c>
      <c r="J40" s="23" t="n">
        <v>14.3</v>
      </c>
      <c r="K40" s="23" t="n">
        <v>31.5</v>
      </c>
      <c r="L40" s="9"/>
    </row>
    <row r="41" customFormat="false" ht="15" hidden="false" customHeight="true" outlineLevel="0" collapsed="false">
      <c r="A41" s="31" t="s">
        <v>137</v>
      </c>
      <c r="B41" s="31" t="s">
        <v>138</v>
      </c>
      <c r="C41" s="32" t="n">
        <v>20.5</v>
      </c>
      <c r="D41" s="32" t="n">
        <v>12.6</v>
      </c>
      <c r="E41" s="32" t="n">
        <v>7.9</v>
      </c>
      <c r="F41" s="32" t="n">
        <v>404</v>
      </c>
      <c r="G41" s="32" t="n">
        <v>192</v>
      </c>
      <c r="H41" s="32" t="n">
        <v>212</v>
      </c>
      <c r="I41" s="33" t="n">
        <v>600</v>
      </c>
      <c r="J41" s="32" t="n">
        <v>13.2</v>
      </c>
      <c r="K41" s="32" t="n">
        <v>35.3</v>
      </c>
      <c r="L41" s="31"/>
    </row>
    <row r="42" customFormat="false" ht="15" hidden="false" customHeight="true" outlineLevel="0" collapsed="false">
      <c r="A42" s="9" t="s">
        <v>139</v>
      </c>
      <c r="B42" s="9" t="s">
        <v>138</v>
      </c>
      <c r="C42" s="23" t="n">
        <v>18.3</v>
      </c>
      <c r="D42" s="23" t="n">
        <v>12.6</v>
      </c>
      <c r="E42" s="23" t="n">
        <v>5.7</v>
      </c>
      <c r="F42" s="23" t="n">
        <v>318</v>
      </c>
      <c r="G42" s="23" t="n">
        <v>192</v>
      </c>
      <c r="H42" s="23" t="n">
        <v>126</v>
      </c>
      <c r="I42" s="34" t="n">
        <v>400</v>
      </c>
      <c r="J42" s="23" t="n">
        <v>14.3</v>
      </c>
      <c r="K42" s="23" t="n">
        <v>31.5</v>
      </c>
      <c r="L42" s="9"/>
    </row>
    <row r="43" customFormat="false" ht="15" hidden="false" customHeight="true" outlineLevel="0" collapsed="false">
      <c r="A43" s="31" t="s">
        <v>140</v>
      </c>
      <c r="B43" s="31" t="s">
        <v>141</v>
      </c>
      <c r="C43" s="32" t="n">
        <v>10.9</v>
      </c>
      <c r="D43" s="32" t="n">
        <v>10.5</v>
      </c>
      <c r="E43" s="32" t="n">
        <v>0.4</v>
      </c>
      <c r="F43" s="32" t="n">
        <v>177</v>
      </c>
      <c r="G43" s="32" t="n">
        <v>160</v>
      </c>
      <c r="H43" s="32" t="n">
        <v>17</v>
      </c>
      <c r="I43" s="33" t="n">
        <v>280</v>
      </c>
      <c r="J43" s="32" t="n">
        <v>1.4</v>
      </c>
      <c r="K43" s="32" t="n">
        <v>6.1</v>
      </c>
      <c r="L43" s="31"/>
    </row>
    <row r="44" customFormat="false" ht="15" hidden="false" customHeight="true" outlineLevel="0" collapsed="false">
      <c r="A44" s="9" t="s">
        <v>142</v>
      </c>
      <c r="B44" s="9" t="s">
        <v>143</v>
      </c>
      <c r="C44" s="23" t="n">
        <v>12.2</v>
      </c>
      <c r="D44" s="23" t="n">
        <v>7.5</v>
      </c>
      <c r="E44" s="23" t="n">
        <v>4.7</v>
      </c>
      <c r="F44" s="23" t="n">
        <v>154</v>
      </c>
      <c r="G44" s="23" t="n">
        <v>60</v>
      </c>
      <c r="H44" s="23" t="n">
        <v>94</v>
      </c>
      <c r="I44" s="34" t="n">
        <v>250</v>
      </c>
      <c r="J44" s="23" t="n">
        <v>18.8</v>
      </c>
      <c r="K44" s="23" t="n">
        <v>37.6</v>
      </c>
      <c r="L44" s="9"/>
    </row>
    <row r="46" customFormat="false" ht="15" hidden="false" customHeight="true" outlineLevel="0" collapsed="false">
      <c r="A46" s="35" t="s">
        <v>144</v>
      </c>
    </row>
    <row r="47" customFormat="false" ht="15" hidden="false" customHeight="true" outlineLevel="0" collapsed="false">
      <c r="A47" s="36" t="s">
        <v>145</v>
      </c>
    </row>
    <row r="48" customFormat="false" ht="15" hidden="false" customHeight="true" outlineLevel="0" collapsed="false">
      <c r="A48" s="36" t="s">
        <v>146</v>
      </c>
    </row>
    <row r="49" customFormat="false" ht="15" hidden="false" customHeight="true" outlineLevel="0" collapsed="false">
      <c r="A49" s="37" t="s">
        <v>147</v>
      </c>
    </row>
    <row r="50" customFormat="false" ht="15" hidden="false" customHeight="true" outlineLevel="0" collapsed="false">
      <c r="A50" s="38" t="s">
        <v>148</v>
      </c>
    </row>
    <row r="51" customFormat="false" ht="15" hidden="false" customHeight="true" outlineLevel="0" collapsed="false">
      <c r="A51" s="3" t="s">
        <v>149</v>
      </c>
    </row>
  </sheetData>
  <mergeCells count="3">
    <mergeCell ref="A1:L1"/>
    <mergeCell ref="A22:L22"/>
    <mergeCell ref="A32:L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4F72"/>
    <pageSetUpPr fitToPage="false"/>
  </sheetPr>
  <dimension ref="A1:H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4"/>
    <col collapsed="false" customWidth="true" hidden="false" outlineLevel="0" max="6" min="3" style="1" width="18"/>
    <col collapsed="false" customWidth="true" hidden="false" outlineLevel="0" max="7" min="7" style="1" width="28"/>
    <col collapsed="false" customWidth="true" hidden="false" outlineLevel="0" max="8" min="8" style="1" width="14"/>
  </cols>
  <sheetData>
    <row r="1" customFormat="false" ht="19.5" hidden="false" customHeight="true" outlineLevel="0" collapsed="false">
      <c r="A1" s="2" t="s">
        <v>150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151</v>
      </c>
    </row>
    <row r="4" customFormat="false" ht="15" hidden="false" customHeight="true" outlineLevel="0" collapsed="false">
      <c r="A4" s="29" t="s">
        <v>152</v>
      </c>
      <c r="B4" s="29"/>
      <c r="C4" s="29"/>
      <c r="D4" s="29"/>
      <c r="E4" s="29"/>
      <c r="F4" s="29"/>
      <c r="G4" s="29"/>
      <c r="H4" s="29"/>
    </row>
    <row r="5" customFormat="false" ht="15" hidden="false" customHeight="true" outlineLevel="0" collapsed="false">
      <c r="A5" s="39" t="s">
        <v>3</v>
      </c>
      <c r="B5" s="40" t="s">
        <v>153</v>
      </c>
      <c r="C5" s="39" t="s">
        <v>154</v>
      </c>
    </row>
    <row r="6" customFormat="false" ht="15" hidden="false" customHeight="true" outlineLevel="0" collapsed="false">
      <c r="A6" s="41" t="s">
        <v>155</v>
      </c>
      <c r="B6" s="14" t="n">
        <v>250</v>
      </c>
      <c r="C6" s="42" t="s">
        <v>156</v>
      </c>
    </row>
    <row r="7" customFormat="false" ht="15" hidden="false" customHeight="true" outlineLevel="0" collapsed="false">
      <c r="A7" s="41" t="s">
        <v>157</v>
      </c>
      <c r="B7" s="14" t="n">
        <v>450</v>
      </c>
      <c r="C7" s="42" t="s">
        <v>156</v>
      </c>
    </row>
    <row r="8" customFormat="false" ht="15" hidden="false" customHeight="true" outlineLevel="0" collapsed="false">
      <c r="A8" s="41" t="s">
        <v>158</v>
      </c>
      <c r="B8" s="14" t="n">
        <v>30</v>
      </c>
      <c r="C8" s="42" t="s">
        <v>159</v>
      </c>
    </row>
    <row r="9" customFormat="false" ht="15" hidden="false" customHeight="true" outlineLevel="0" collapsed="false">
      <c r="A9" s="41" t="s">
        <v>160</v>
      </c>
      <c r="B9" s="14" t="n">
        <v>200</v>
      </c>
      <c r="C9" s="42" t="s">
        <v>161</v>
      </c>
    </row>
    <row r="10" customFormat="false" ht="15" hidden="false" customHeight="true" outlineLevel="0" collapsed="false">
      <c r="A10" s="41" t="s">
        <v>162</v>
      </c>
      <c r="B10" s="14" t="n">
        <v>0</v>
      </c>
      <c r="C10" s="42" t="s">
        <v>163</v>
      </c>
    </row>
    <row r="11" customFormat="false" ht="15" hidden="false" customHeight="true" outlineLevel="0" collapsed="false">
      <c r="A11" s="41" t="s">
        <v>164</v>
      </c>
      <c r="B11" s="14" t="n">
        <v>25</v>
      </c>
      <c r="C11" s="42" t="s">
        <v>165</v>
      </c>
    </row>
    <row r="12" customFormat="false" ht="15" hidden="false" customHeight="true" outlineLevel="0" collapsed="false">
      <c r="A12" s="13" t="s">
        <v>166</v>
      </c>
      <c r="B12" s="43" t="n">
        <f aca="false">SUM(B6:B11)</f>
        <v>955</v>
      </c>
    </row>
    <row r="14" customFormat="false" ht="15" hidden="false" customHeight="true" outlineLevel="0" collapsed="false">
      <c r="A14" s="26" t="s">
        <v>167</v>
      </c>
      <c r="B14" s="26"/>
      <c r="C14" s="26"/>
      <c r="D14" s="26"/>
      <c r="E14" s="26"/>
      <c r="F14" s="26"/>
      <c r="G14" s="26"/>
      <c r="H14" s="26"/>
    </row>
    <row r="15" customFormat="false" ht="15" hidden="false" customHeight="true" outlineLevel="0" collapsed="false">
      <c r="A15" s="27" t="s">
        <v>48</v>
      </c>
      <c r="B15" s="27" t="s">
        <v>168</v>
      </c>
      <c r="C15" s="27" t="s">
        <v>169</v>
      </c>
      <c r="D15" s="27" t="s">
        <v>170</v>
      </c>
      <c r="E15" s="27" t="s">
        <v>171</v>
      </c>
      <c r="F15" s="27" t="s">
        <v>172</v>
      </c>
      <c r="G15" s="27" t="s">
        <v>173</v>
      </c>
      <c r="H15" s="27" t="s">
        <v>153</v>
      </c>
    </row>
    <row r="16" customFormat="false" ht="15" hidden="false" customHeight="true" outlineLevel="0" collapsed="false">
      <c r="A16" s="5" t="s">
        <v>174</v>
      </c>
      <c r="B16" s="5" t="s">
        <v>175</v>
      </c>
      <c r="C16" s="5" t="s">
        <v>176</v>
      </c>
      <c r="D16" s="28" t="n">
        <v>8.9</v>
      </c>
      <c r="E16" s="8" t="n">
        <v>122</v>
      </c>
      <c r="F16" s="44" t="n">
        <v>300</v>
      </c>
      <c r="G16" s="5" t="s">
        <v>177</v>
      </c>
      <c r="H16" s="45" t="n">
        <f aca="false">$B$6</f>
        <v>250</v>
      </c>
    </row>
    <row r="17" customFormat="false" ht="15" hidden="false" customHeight="true" outlineLevel="0" collapsed="false">
      <c r="A17" s="9" t="s">
        <v>174</v>
      </c>
      <c r="B17" s="9" t="s">
        <v>175</v>
      </c>
      <c r="C17" s="9" t="s">
        <v>178</v>
      </c>
      <c r="D17" s="23" t="n">
        <v>8.9</v>
      </c>
      <c r="E17" s="12" t="n">
        <v>122</v>
      </c>
      <c r="F17" s="34" t="n">
        <v>200</v>
      </c>
      <c r="G17" s="9" t="s">
        <v>177</v>
      </c>
      <c r="H17" s="46" t="n">
        <f aca="false">$B$7</f>
        <v>450</v>
      </c>
    </row>
    <row r="18" customFormat="false" ht="15" hidden="false" customHeight="true" outlineLevel="0" collapsed="false">
      <c r="A18" s="5" t="s">
        <v>174</v>
      </c>
      <c r="B18" s="5" t="s">
        <v>175</v>
      </c>
      <c r="C18" s="5" t="s">
        <v>179</v>
      </c>
      <c r="D18" s="28" t="n">
        <v>7.2</v>
      </c>
      <c r="E18" s="8" t="n">
        <v>104</v>
      </c>
      <c r="F18" s="44" t="n">
        <v>0</v>
      </c>
      <c r="G18" s="5" t="s">
        <v>180</v>
      </c>
      <c r="H18" s="45" t="n">
        <f aca="false">$B$8</f>
        <v>30</v>
      </c>
    </row>
    <row r="19" customFormat="false" ht="15" hidden="false" customHeight="true" outlineLevel="0" collapsed="false">
      <c r="A19" s="9" t="s">
        <v>174</v>
      </c>
      <c r="B19" s="9" t="s">
        <v>175</v>
      </c>
      <c r="C19" s="9" t="s">
        <v>181</v>
      </c>
      <c r="D19" s="23" t="n">
        <v>10</v>
      </c>
      <c r="E19" s="12" t="n">
        <v>136</v>
      </c>
      <c r="F19" s="34" t="n">
        <v>200</v>
      </c>
      <c r="G19" s="9" t="s">
        <v>182</v>
      </c>
      <c r="H19" s="46" t="n">
        <f aca="false">$B$9</f>
        <v>200</v>
      </c>
    </row>
    <row r="20" customFormat="false" ht="15" hidden="false" customHeight="true" outlineLevel="0" collapsed="false">
      <c r="A20" s="5" t="s">
        <v>183</v>
      </c>
      <c r="B20" s="5" t="s">
        <v>184</v>
      </c>
      <c r="C20" s="5" t="s">
        <v>176</v>
      </c>
      <c r="D20" s="28" t="n">
        <v>14.4</v>
      </c>
      <c r="E20" s="8" t="n">
        <v>204</v>
      </c>
      <c r="F20" s="44" t="n">
        <v>500</v>
      </c>
      <c r="G20" s="5" t="s">
        <v>185</v>
      </c>
      <c r="H20" s="45" t="n">
        <f aca="false">$B$6</f>
        <v>250</v>
      </c>
    </row>
    <row r="21" customFormat="false" ht="15" hidden="false" customHeight="true" outlineLevel="0" collapsed="false">
      <c r="A21" s="9" t="s">
        <v>183</v>
      </c>
      <c r="B21" s="9" t="s">
        <v>184</v>
      </c>
      <c r="C21" s="9" t="s">
        <v>178</v>
      </c>
      <c r="D21" s="23" t="n">
        <v>12.2</v>
      </c>
      <c r="E21" s="12" t="n">
        <v>181</v>
      </c>
      <c r="F21" s="34" t="n">
        <v>300</v>
      </c>
      <c r="G21" s="9" t="s">
        <v>186</v>
      </c>
      <c r="H21" s="46" t="n">
        <f aca="false">$B$7</f>
        <v>450</v>
      </c>
    </row>
    <row r="22" customFormat="false" ht="15" hidden="false" customHeight="true" outlineLevel="0" collapsed="false">
      <c r="A22" s="5" t="s">
        <v>187</v>
      </c>
      <c r="B22" s="5" t="s">
        <v>188</v>
      </c>
      <c r="C22" s="5" t="s">
        <v>189</v>
      </c>
      <c r="D22" s="28" t="n">
        <v>20.5</v>
      </c>
      <c r="E22" s="8" t="n">
        <v>404</v>
      </c>
      <c r="F22" s="44" t="n">
        <v>800</v>
      </c>
      <c r="G22" s="5" t="s">
        <v>190</v>
      </c>
      <c r="H22" s="45" t="n">
        <f aca="false">$B$6</f>
        <v>250</v>
      </c>
    </row>
    <row r="23" customFormat="false" ht="15" hidden="false" customHeight="true" outlineLevel="0" collapsed="false">
      <c r="A23" s="9" t="s">
        <v>187</v>
      </c>
      <c r="B23" s="9" t="s">
        <v>188</v>
      </c>
      <c r="C23" s="9" t="s">
        <v>191</v>
      </c>
      <c r="D23" s="23" t="n">
        <v>18.3</v>
      </c>
      <c r="E23" s="12" t="n">
        <v>318</v>
      </c>
      <c r="F23" s="34" t="n">
        <v>500</v>
      </c>
      <c r="G23" s="9" t="s">
        <v>192</v>
      </c>
      <c r="H23" s="46" t="n">
        <f aca="false">$B$7</f>
        <v>450</v>
      </c>
    </row>
    <row r="24" customFormat="false" ht="15" hidden="false" customHeight="true" outlineLevel="0" collapsed="false">
      <c r="A24" s="5" t="s">
        <v>193</v>
      </c>
      <c r="B24" s="5" t="s">
        <v>194</v>
      </c>
      <c r="C24" s="5" t="s">
        <v>189</v>
      </c>
      <c r="D24" s="28" t="n">
        <v>20.5</v>
      </c>
      <c r="E24" s="8" t="n">
        <v>404</v>
      </c>
      <c r="F24" s="44" t="n">
        <v>800</v>
      </c>
      <c r="G24" s="5" t="s">
        <v>190</v>
      </c>
      <c r="H24" s="45" t="n">
        <f aca="false">$B$6</f>
        <v>250</v>
      </c>
    </row>
    <row r="25" customFormat="false" ht="15" hidden="false" customHeight="true" outlineLevel="0" collapsed="false">
      <c r="A25" s="9" t="s">
        <v>193</v>
      </c>
      <c r="B25" s="9" t="s">
        <v>194</v>
      </c>
      <c r="C25" s="9" t="s">
        <v>191</v>
      </c>
      <c r="D25" s="23" t="n">
        <v>18.3</v>
      </c>
      <c r="E25" s="12" t="n">
        <v>318</v>
      </c>
      <c r="F25" s="34" t="n">
        <v>500</v>
      </c>
      <c r="G25" s="9" t="s">
        <v>192</v>
      </c>
      <c r="H25" s="46" t="n">
        <f aca="false">$B$7</f>
        <v>450</v>
      </c>
    </row>
    <row r="26" customFormat="false" ht="15" hidden="false" customHeight="true" outlineLevel="0" collapsed="false">
      <c r="A26" s="5" t="s">
        <v>193</v>
      </c>
      <c r="B26" s="5" t="s">
        <v>194</v>
      </c>
      <c r="C26" s="5" t="s">
        <v>195</v>
      </c>
      <c r="D26" s="28" t="n">
        <v>10.9</v>
      </c>
      <c r="E26" s="8" t="n">
        <v>177</v>
      </c>
      <c r="F26" s="44" t="n">
        <v>300</v>
      </c>
      <c r="G26" s="5" t="s">
        <v>196</v>
      </c>
      <c r="H26" s="45" t="n">
        <f aca="false">$B$10</f>
        <v>0</v>
      </c>
    </row>
    <row r="27" customFormat="false" ht="15" hidden="false" customHeight="true" outlineLevel="0" collapsed="false">
      <c r="A27" s="9" t="s">
        <v>197</v>
      </c>
      <c r="B27" s="9" t="s">
        <v>198</v>
      </c>
      <c r="C27" s="9" t="s">
        <v>199</v>
      </c>
      <c r="D27" s="23" t="n">
        <v>8.5</v>
      </c>
      <c r="E27" s="12" t="n">
        <v>120</v>
      </c>
      <c r="F27" s="34" t="n">
        <v>150</v>
      </c>
      <c r="G27" s="9" t="s">
        <v>200</v>
      </c>
      <c r="H27" s="46" t="n">
        <f aca="false">$B$6+$B$7</f>
        <v>700</v>
      </c>
    </row>
    <row r="28" customFormat="false" ht="15" hidden="false" customHeight="true" outlineLevel="0" collapsed="false">
      <c r="A28" s="5" t="s">
        <v>197</v>
      </c>
      <c r="B28" s="5" t="s">
        <v>198</v>
      </c>
      <c r="C28" s="5" t="s">
        <v>201</v>
      </c>
      <c r="D28" s="28" t="n">
        <v>10.9</v>
      </c>
      <c r="E28" s="8" t="n">
        <v>177</v>
      </c>
      <c r="F28" s="44" t="n">
        <v>300</v>
      </c>
      <c r="G28" s="5" t="s">
        <v>202</v>
      </c>
      <c r="H28" s="45" t="n">
        <f aca="false">$B$10</f>
        <v>0</v>
      </c>
    </row>
    <row r="29" customFormat="false" ht="15" hidden="false" customHeight="true" outlineLevel="0" collapsed="false">
      <c r="A29" s="9" t="s">
        <v>203</v>
      </c>
      <c r="B29" s="9" t="s">
        <v>105</v>
      </c>
      <c r="C29" s="9" t="s">
        <v>204</v>
      </c>
      <c r="D29" s="23" t="n">
        <v>12.2</v>
      </c>
      <c r="E29" s="12" t="n">
        <v>154</v>
      </c>
      <c r="F29" s="34" t="n">
        <v>500</v>
      </c>
      <c r="G29" s="9" t="s">
        <v>205</v>
      </c>
      <c r="H29" s="46" t="n">
        <f aca="false">$B$6+$B$7+$B$8</f>
        <v>730</v>
      </c>
    </row>
    <row r="30" customFormat="false" ht="15" hidden="false" customHeight="true" outlineLevel="0" collapsed="false">
      <c r="A30" s="5" t="s">
        <v>203</v>
      </c>
      <c r="B30" s="5" t="s">
        <v>105</v>
      </c>
      <c r="C30" s="5" t="s">
        <v>181</v>
      </c>
      <c r="D30" s="28" t="n">
        <v>12.2</v>
      </c>
      <c r="E30" s="8" t="n">
        <v>154</v>
      </c>
      <c r="F30" s="44" t="n">
        <v>500</v>
      </c>
      <c r="G30" s="5" t="s">
        <v>206</v>
      </c>
      <c r="H30" s="45" t="n">
        <f aca="false">$B$9</f>
        <v>200</v>
      </c>
    </row>
    <row r="31" customFormat="false" ht="15" hidden="false" customHeight="true" outlineLevel="0" collapsed="false">
      <c r="A31" s="9" t="s">
        <v>203</v>
      </c>
      <c r="B31" s="9" t="s">
        <v>105</v>
      </c>
      <c r="C31" s="9" t="s">
        <v>164</v>
      </c>
      <c r="D31" s="23" t="n">
        <v>14.4</v>
      </c>
      <c r="E31" s="12" t="n">
        <v>190</v>
      </c>
      <c r="F31" s="34" t="n">
        <v>400</v>
      </c>
      <c r="G31" s="9" t="s">
        <v>207</v>
      </c>
      <c r="H31" s="46" t="n">
        <f aca="false">$B$11</f>
        <v>25</v>
      </c>
    </row>
    <row r="33" customFormat="false" ht="15" hidden="false" customHeight="true" outlineLevel="0" collapsed="false">
      <c r="A33" s="47" t="s">
        <v>208</v>
      </c>
      <c r="B33" s="47"/>
      <c r="C33" s="47"/>
      <c r="D33" s="47"/>
      <c r="E33" s="47"/>
      <c r="F33" s="47"/>
      <c r="G33" s="47"/>
      <c r="H33" s="47"/>
    </row>
    <row r="34" customFormat="false" ht="23.25" hidden="false" customHeight="true" outlineLevel="0" collapsed="false">
      <c r="A34" s="48" t="s">
        <v>48</v>
      </c>
      <c r="B34" s="48" t="s">
        <v>168</v>
      </c>
      <c r="C34" s="48" t="s">
        <v>209</v>
      </c>
      <c r="D34" s="48" t="s">
        <v>210</v>
      </c>
      <c r="E34" s="48" t="s">
        <v>211</v>
      </c>
      <c r="F34" s="48" t="s">
        <v>212</v>
      </c>
    </row>
    <row r="35" customFormat="false" ht="15" hidden="false" customHeight="true" outlineLevel="0" collapsed="false">
      <c r="A35" s="49" t="s">
        <v>174</v>
      </c>
      <c r="B35" s="50" t="s">
        <v>175</v>
      </c>
      <c r="C35" s="51" t="n">
        <f aca="false">H16+H17+H18+H19</f>
        <v>930</v>
      </c>
      <c r="D35" s="52" t="n">
        <f aca="false">(F16*H16+F17*H17+F18*H18+F19*H19)/1000</f>
        <v>205</v>
      </c>
      <c r="E35" s="51" t="n">
        <f aca="false">D35*30</f>
        <v>6150</v>
      </c>
      <c r="F35" s="53" t="n">
        <f aca="false">E35*4.5</f>
        <v>27675</v>
      </c>
    </row>
    <row r="36" customFormat="false" ht="15" hidden="false" customHeight="true" outlineLevel="0" collapsed="false">
      <c r="A36" s="54" t="s">
        <v>183</v>
      </c>
      <c r="B36" s="41" t="s">
        <v>184</v>
      </c>
      <c r="C36" s="46" t="n">
        <f aca="false">H20+H21</f>
        <v>700</v>
      </c>
      <c r="D36" s="55" t="n">
        <f aca="false">(F20*H20+F21*H21)/1000</f>
        <v>260</v>
      </c>
      <c r="E36" s="46" t="n">
        <f aca="false">D36*30</f>
        <v>7800</v>
      </c>
      <c r="F36" s="56" t="n">
        <f aca="false">E36*4.5</f>
        <v>35100</v>
      </c>
    </row>
    <row r="37" customFormat="false" ht="15" hidden="false" customHeight="true" outlineLevel="0" collapsed="false">
      <c r="A37" s="49" t="s">
        <v>187</v>
      </c>
      <c r="B37" s="50" t="s">
        <v>188</v>
      </c>
      <c r="C37" s="51" t="n">
        <f aca="false">H22+H23</f>
        <v>700</v>
      </c>
      <c r="D37" s="52" t="n">
        <f aca="false">(F22*H22+F23*H23)/1000</f>
        <v>425</v>
      </c>
      <c r="E37" s="51" t="n">
        <f aca="false">D37*30</f>
        <v>12750</v>
      </c>
      <c r="F37" s="53" t="n">
        <f aca="false">E37*4.5</f>
        <v>57375</v>
      </c>
    </row>
    <row r="38" customFormat="false" ht="15" hidden="false" customHeight="true" outlineLevel="0" collapsed="false">
      <c r="A38" s="54" t="s">
        <v>193</v>
      </c>
      <c r="B38" s="41" t="s">
        <v>194</v>
      </c>
      <c r="C38" s="46" t="n">
        <f aca="false">H24+H25+H26</f>
        <v>700</v>
      </c>
      <c r="D38" s="55" t="n">
        <f aca="false">(F24*H24+F25*H25+F26*H26)/1000</f>
        <v>425</v>
      </c>
      <c r="E38" s="46" t="n">
        <f aca="false">D38*30</f>
        <v>12750</v>
      </c>
      <c r="F38" s="56" t="n">
        <f aca="false">E38*4.5</f>
        <v>57375</v>
      </c>
    </row>
    <row r="39" customFormat="false" ht="15" hidden="false" customHeight="true" outlineLevel="0" collapsed="false">
      <c r="A39" s="49" t="s">
        <v>197</v>
      </c>
      <c r="B39" s="50" t="s">
        <v>198</v>
      </c>
      <c r="C39" s="51" t="n">
        <f aca="false">H27+H28</f>
        <v>700</v>
      </c>
      <c r="D39" s="52" t="n">
        <f aca="false">(F27*H27+F28*H28)/1000</f>
        <v>105</v>
      </c>
      <c r="E39" s="51" t="n">
        <f aca="false">D39*30</f>
        <v>3150</v>
      </c>
      <c r="F39" s="53" t="n">
        <f aca="false">E39*4.5</f>
        <v>14175</v>
      </c>
    </row>
    <row r="40" customFormat="false" ht="15" hidden="false" customHeight="true" outlineLevel="0" collapsed="false">
      <c r="A40" s="54" t="s">
        <v>203</v>
      </c>
      <c r="B40" s="41" t="s">
        <v>105</v>
      </c>
      <c r="C40" s="46" t="n">
        <f aca="false">H29+H30+H31</f>
        <v>955</v>
      </c>
      <c r="D40" s="55" t="n">
        <f aca="false">(F29*H29+F30*H30+F31*H31)/1000</f>
        <v>475</v>
      </c>
      <c r="E40" s="46" t="n">
        <f aca="false">D40*30</f>
        <v>14250</v>
      </c>
      <c r="F40" s="56" t="n">
        <f aca="false">E40*4.5</f>
        <v>64125</v>
      </c>
    </row>
    <row r="41" customFormat="false" ht="15" hidden="false" customHeight="true" outlineLevel="0" collapsed="false">
      <c r="A41" s="57" t="s">
        <v>213</v>
      </c>
      <c r="E41" s="46" t="n">
        <f aca="false">SUM(E35:E40)</f>
        <v>56850</v>
      </c>
      <c r="F41" s="58" t="n">
        <f aca="false">SUM(F35:F40)</f>
        <v>255825</v>
      </c>
    </row>
  </sheetData>
  <mergeCells count="4">
    <mergeCell ref="A1:H1"/>
    <mergeCell ref="A4:H4"/>
    <mergeCell ref="A14:H14"/>
    <mergeCell ref="A33:H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2B21"/>
    <pageSetUpPr fitToPage="false"/>
  </sheetPr>
  <dimension ref="A1:K1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2"/>
    <col collapsed="false" customWidth="true" hidden="false" outlineLevel="0" max="10" min="3" style="1" width="14"/>
  </cols>
  <sheetData>
    <row r="1" customFormat="false" ht="19.5" hidden="false" customHeight="true" outlineLevel="0" collapsed="false">
      <c r="A1" s="2" t="s">
        <v>214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5" hidden="false" customHeight="true" outlineLevel="0" collapsed="false">
      <c r="A2" s="3" t="s">
        <v>215</v>
      </c>
    </row>
    <row r="4" customFormat="false" ht="15" hidden="false" customHeight="true" outlineLevel="0" collapsed="false">
      <c r="A4" s="29" t="s">
        <v>216</v>
      </c>
      <c r="B4" s="29"/>
      <c r="C4" s="29"/>
      <c r="D4" s="29"/>
      <c r="E4" s="29"/>
      <c r="F4" s="29"/>
      <c r="G4" s="29"/>
      <c r="H4" s="29"/>
      <c r="I4" s="29"/>
      <c r="J4" s="29"/>
      <c r="K4" s="29"/>
    </row>
    <row r="5" customFormat="false" ht="15" hidden="false" customHeight="true" outlineLevel="0" collapsed="false">
      <c r="A5" s="59" t="s">
        <v>217</v>
      </c>
      <c r="C5" s="13" t="s">
        <v>218</v>
      </c>
      <c r="E5" s="14" t="n">
        <v>300</v>
      </c>
      <c r="F5" s="13" t="s">
        <v>219</v>
      </c>
      <c r="G5" s="46" t="n">
        <f aca="false">'Flock Calculator'!$B$6</f>
        <v>250</v>
      </c>
    </row>
    <row r="6" customFormat="false" ht="15" hidden="false" customHeight="true" outlineLevel="0" collapsed="false">
      <c r="A6" s="30" t="s">
        <v>2</v>
      </c>
      <c r="B6" s="30" t="s">
        <v>220</v>
      </c>
      <c r="C6" s="30" t="s">
        <v>221</v>
      </c>
      <c r="D6" s="30" t="s">
        <v>222</v>
      </c>
      <c r="E6" s="30" t="s">
        <v>223</v>
      </c>
      <c r="F6" s="30" t="s">
        <v>224</v>
      </c>
      <c r="G6" s="30" t="s">
        <v>225</v>
      </c>
      <c r="H6" s="30" t="s">
        <v>226</v>
      </c>
      <c r="I6" s="30" t="s">
        <v>227</v>
      </c>
      <c r="J6" s="30" t="s">
        <v>228</v>
      </c>
    </row>
    <row r="7" customFormat="false" ht="15" hidden="false" customHeight="true" outlineLevel="0" collapsed="false">
      <c r="A7" s="60" t="s">
        <v>13</v>
      </c>
      <c r="B7" s="61" t="n">
        <v>22</v>
      </c>
      <c r="C7" s="62" t="n">
        <f aca="false">'Feed Ingredients'!C6</f>
        <v>12.8</v>
      </c>
      <c r="D7" s="62" t="n">
        <f aca="false">'Feed Ingredients'!D6</f>
        <v>11.5</v>
      </c>
      <c r="E7" s="63" t="n">
        <f aca="false">'Feed Ingredients'!H6</f>
        <v>3.2</v>
      </c>
      <c r="F7" s="63" t="n">
        <f aca="false">B7/100*C7</f>
        <v>2.816</v>
      </c>
      <c r="G7" s="63" t="n">
        <f aca="false">B7/100*D7</f>
        <v>2.53</v>
      </c>
      <c r="H7" s="63" t="n">
        <f aca="false">B7/100*E7</f>
        <v>0.704</v>
      </c>
      <c r="I7" s="64" t="n">
        <f aca="false">B7/100*'Feed Ingredients'!F6</f>
        <v>0.011</v>
      </c>
      <c r="J7" s="64" t="n">
        <f aca="false">B7/100*'Feed Ingredients'!G6</f>
        <v>0.077</v>
      </c>
    </row>
    <row r="8" customFormat="false" ht="15" hidden="false" customHeight="true" outlineLevel="0" collapsed="false">
      <c r="A8" s="41" t="s">
        <v>14</v>
      </c>
      <c r="B8" s="65" t="n">
        <v>0</v>
      </c>
      <c r="C8" s="66" t="n">
        <f aca="false">'Feed Ingredients'!C7</f>
        <v>13.2</v>
      </c>
      <c r="D8" s="66" t="n">
        <f aca="false">'Feed Ingredients'!D7</f>
        <v>12.5</v>
      </c>
      <c r="E8" s="67" t="n">
        <f aca="false">'Feed Ingredients'!H7</f>
        <v>4</v>
      </c>
      <c r="F8" s="67" t="n">
        <f aca="false">B8/100*C8</f>
        <v>0</v>
      </c>
      <c r="G8" s="67" t="n">
        <f aca="false">B8/100*D8</f>
        <v>0</v>
      </c>
      <c r="H8" s="67" t="n">
        <f aca="false">B8/100*E8</f>
        <v>0</v>
      </c>
      <c r="I8" s="68" t="n">
        <f aca="false">B8/100*'Feed Ingredients'!F7</f>
        <v>0</v>
      </c>
      <c r="J8" s="68" t="n">
        <f aca="false">B8/100*'Feed Ingredients'!G7</f>
        <v>0</v>
      </c>
    </row>
    <row r="9" customFormat="false" ht="15" hidden="false" customHeight="true" outlineLevel="0" collapsed="false">
      <c r="A9" s="60" t="s">
        <v>15</v>
      </c>
      <c r="B9" s="61" t="n">
        <v>28</v>
      </c>
      <c r="C9" s="62" t="n">
        <f aca="false">'Feed Ingredients'!C8</f>
        <v>12</v>
      </c>
      <c r="D9" s="62" t="n">
        <f aca="false">'Feed Ingredients'!D8</f>
        <v>32</v>
      </c>
      <c r="E9" s="63" t="n">
        <f aca="false">'Feed Ingredients'!H8</f>
        <v>5.5</v>
      </c>
      <c r="F9" s="63" t="n">
        <f aca="false">B9/100*C9</f>
        <v>3.36</v>
      </c>
      <c r="G9" s="63" t="n">
        <f aca="false">B9/100*D9</f>
        <v>8.96</v>
      </c>
      <c r="H9" s="63" t="n">
        <f aca="false">B9/100*E9</f>
        <v>1.54</v>
      </c>
      <c r="I9" s="64" t="n">
        <f aca="false">B9/100*'Feed Ingredients'!F8</f>
        <v>0.07</v>
      </c>
      <c r="J9" s="64" t="n">
        <f aca="false">B9/100*'Feed Ingredients'!G8</f>
        <v>0.112</v>
      </c>
    </row>
    <row r="10" customFormat="false" ht="15" hidden="false" customHeight="true" outlineLevel="0" collapsed="false">
      <c r="A10" s="41" t="s">
        <v>19</v>
      </c>
      <c r="B10" s="65" t="n">
        <v>8</v>
      </c>
      <c r="C10" s="66" t="n">
        <f aca="false">'Feed Ingredients'!C10</f>
        <v>13.8</v>
      </c>
      <c r="D10" s="66" t="n">
        <f aca="false">'Feed Ingredients'!D10</f>
        <v>9</v>
      </c>
      <c r="E10" s="67" t="n">
        <f aca="false">'Feed Ingredients'!H10</f>
        <v>4.8</v>
      </c>
      <c r="F10" s="67" t="n">
        <f aca="false">B10/100*C10</f>
        <v>1.104</v>
      </c>
      <c r="G10" s="67" t="n">
        <f aca="false">B10/100*D10</f>
        <v>0.72</v>
      </c>
      <c r="H10" s="67" t="n">
        <f aca="false">B10/100*E10</f>
        <v>0.384</v>
      </c>
      <c r="I10" s="68" t="n">
        <f aca="false">B10/100*'Feed Ingredients'!F10</f>
        <v>0.0024</v>
      </c>
      <c r="J10" s="68" t="n">
        <f aca="false">B10/100*'Feed Ingredients'!G10</f>
        <v>0.0224</v>
      </c>
    </row>
    <row r="11" customFormat="false" ht="15" hidden="false" customHeight="true" outlineLevel="0" collapsed="false">
      <c r="A11" s="60" t="s">
        <v>17</v>
      </c>
      <c r="B11" s="61" t="n">
        <v>15</v>
      </c>
      <c r="C11" s="62" t="n">
        <f aca="false">'Feed Ingredients'!C9</f>
        <v>8.5</v>
      </c>
      <c r="D11" s="62" t="n">
        <f aca="false">'Feed Ingredients'!D9</f>
        <v>18</v>
      </c>
      <c r="E11" s="63" t="n">
        <f aca="false">'Feed Ingredients'!H9</f>
        <v>2.8</v>
      </c>
      <c r="F11" s="63" t="n">
        <f aca="false">B11/100*C11</f>
        <v>1.275</v>
      </c>
      <c r="G11" s="63" t="n">
        <f aca="false">B11/100*D11</f>
        <v>2.7</v>
      </c>
      <c r="H11" s="63" t="n">
        <f aca="false">B11/100*E11</f>
        <v>0.42</v>
      </c>
      <c r="I11" s="64" t="n">
        <f aca="false">B11/100*'Feed Ingredients'!F9</f>
        <v>0.21</v>
      </c>
      <c r="J11" s="64" t="n">
        <f aca="false">B11/100*'Feed Ingredients'!G9</f>
        <v>0.0375</v>
      </c>
    </row>
    <row r="12" customFormat="false" ht="15" hidden="false" customHeight="true" outlineLevel="0" collapsed="false">
      <c r="A12" s="41" t="s">
        <v>23</v>
      </c>
      <c r="B12" s="65" t="n">
        <v>10</v>
      </c>
      <c r="C12" s="66" t="n">
        <f aca="false">'Feed Ingredients'!C13</f>
        <v>11.5</v>
      </c>
      <c r="D12" s="66" t="n">
        <f aca="false">'Feed Ingredients'!D13</f>
        <v>41</v>
      </c>
      <c r="E12" s="67" t="n">
        <f aca="false">'Feed Ingredients'!H13</f>
        <v>6.5</v>
      </c>
      <c r="F12" s="67" t="n">
        <f aca="false">B12/100*C12</f>
        <v>1.15</v>
      </c>
      <c r="G12" s="67" t="n">
        <f aca="false">B12/100*D12</f>
        <v>4.1</v>
      </c>
      <c r="H12" s="67" t="n">
        <f aca="false">B12/100*E12</f>
        <v>0.65</v>
      </c>
      <c r="I12" s="68" t="n">
        <f aca="false">B12/100*'Feed Ingredients'!F13</f>
        <v>0.02</v>
      </c>
      <c r="J12" s="68" t="n">
        <f aca="false">B12/100*'Feed Ingredients'!G13</f>
        <v>0.11</v>
      </c>
    </row>
    <row r="13" customFormat="false" ht="15" hidden="false" customHeight="true" outlineLevel="0" collapsed="false">
      <c r="A13" s="60" t="s">
        <v>22</v>
      </c>
      <c r="B13" s="61" t="n">
        <v>8</v>
      </c>
      <c r="C13" s="62" t="n">
        <f aca="false">'Feed Ingredients'!C12</f>
        <v>10.5</v>
      </c>
      <c r="D13" s="62" t="n">
        <f aca="false">'Feed Ingredients'!D12</f>
        <v>5</v>
      </c>
      <c r="E13" s="63" t="n">
        <f aca="false">'Feed Ingredients'!H12</f>
        <v>2.5</v>
      </c>
      <c r="F13" s="63" t="n">
        <f aca="false">B13/100*C13</f>
        <v>0.84</v>
      </c>
      <c r="G13" s="63" t="n">
        <f aca="false">B13/100*D13</f>
        <v>0.4</v>
      </c>
      <c r="H13" s="63" t="n">
        <f aca="false">B13/100*E13</f>
        <v>0.2</v>
      </c>
      <c r="I13" s="64" t="n">
        <f aca="false">B13/100*'Feed Ingredients'!F12</f>
        <v>0.072</v>
      </c>
      <c r="J13" s="64" t="n">
        <f aca="false">B13/100*'Feed Ingredients'!G12</f>
        <v>0.008</v>
      </c>
    </row>
    <row r="14" customFormat="false" ht="15" hidden="false" customHeight="true" outlineLevel="0" collapsed="false">
      <c r="A14" s="41" t="s">
        <v>25</v>
      </c>
      <c r="B14" s="65" t="n">
        <v>3</v>
      </c>
      <c r="C14" s="66" t="n">
        <f aca="false">'Feed Ingredients'!C14</f>
        <v>10</v>
      </c>
      <c r="D14" s="66" t="n">
        <f aca="false">'Feed Ingredients'!D14</f>
        <v>34</v>
      </c>
      <c r="E14" s="67" t="n">
        <f aca="false">'Feed Ingredients'!H14</f>
        <v>5.8</v>
      </c>
      <c r="F14" s="67" t="n">
        <f aca="false">B14/100*C14</f>
        <v>0.3</v>
      </c>
      <c r="G14" s="67" t="n">
        <f aca="false">B14/100*D14</f>
        <v>1.02</v>
      </c>
      <c r="H14" s="67" t="n">
        <f aca="false">B14/100*E14</f>
        <v>0.174</v>
      </c>
      <c r="I14" s="68" t="n">
        <f aca="false">B14/100*'Feed Ingredients'!F14</f>
        <v>0.0105</v>
      </c>
      <c r="J14" s="68" t="n">
        <f aca="false">B14/100*'Feed Ingredients'!G14</f>
        <v>0.03</v>
      </c>
    </row>
    <row r="15" customFormat="false" ht="15" hidden="false" customHeight="true" outlineLevel="0" collapsed="false">
      <c r="A15" s="60" t="s">
        <v>30</v>
      </c>
      <c r="B15" s="61" t="n">
        <v>1.5</v>
      </c>
      <c r="C15" s="62" t="n">
        <f aca="false">'Feed Ingredients'!C18</f>
        <v>0</v>
      </c>
      <c r="D15" s="62" t="n">
        <f aca="false">'Feed Ingredients'!D18</f>
        <v>0</v>
      </c>
      <c r="E15" s="63" t="n">
        <f aca="false">'Feed Ingredients'!H18</f>
        <v>1.2</v>
      </c>
      <c r="F15" s="63" t="n">
        <f aca="false">B15/100*C15</f>
        <v>0</v>
      </c>
      <c r="G15" s="63" t="n">
        <f aca="false">B15/100*D15</f>
        <v>0</v>
      </c>
      <c r="H15" s="63" t="n">
        <f aca="false">B15/100*E15</f>
        <v>0.018</v>
      </c>
      <c r="I15" s="64" t="n">
        <f aca="false">B15/100*'Feed Ingredients'!F18</f>
        <v>0</v>
      </c>
      <c r="J15" s="64" t="n">
        <f aca="false">B15/100*'Feed Ingredients'!G18</f>
        <v>0</v>
      </c>
    </row>
    <row r="16" customFormat="false" ht="15" hidden="false" customHeight="true" outlineLevel="0" collapsed="false">
      <c r="A16" s="41" t="s">
        <v>32</v>
      </c>
      <c r="B16" s="65" t="n">
        <v>1.5</v>
      </c>
      <c r="C16" s="66" t="n">
        <f aca="false">'Feed Ingredients'!C19</f>
        <v>0</v>
      </c>
      <c r="D16" s="66" t="n">
        <f aca="false">'Feed Ingredients'!D19</f>
        <v>0</v>
      </c>
      <c r="E16" s="67" t="n">
        <f aca="false">'Feed Ingredients'!H19</f>
        <v>0.8</v>
      </c>
      <c r="F16" s="67" t="n">
        <f aca="false">B16/100*C16</f>
        <v>0</v>
      </c>
      <c r="G16" s="67" t="n">
        <f aca="false">B16/100*D16</f>
        <v>0</v>
      </c>
      <c r="H16" s="67" t="n">
        <f aca="false">B16/100*E16</f>
        <v>0.012</v>
      </c>
      <c r="I16" s="68" t="n">
        <f aca="false">B16/100*'Feed Ingredients'!F19</f>
        <v>0.57</v>
      </c>
      <c r="J16" s="68" t="n">
        <f aca="false">B16/100*'Feed Ingredients'!G19</f>
        <v>0</v>
      </c>
    </row>
    <row r="17" customFormat="false" ht="15" hidden="false" customHeight="true" outlineLevel="0" collapsed="false">
      <c r="A17" s="60" t="s">
        <v>33</v>
      </c>
      <c r="B17" s="61" t="n">
        <v>1</v>
      </c>
      <c r="C17" s="62" t="n">
        <f aca="false">'Feed Ingredients'!C20</f>
        <v>0</v>
      </c>
      <c r="D17" s="62" t="n">
        <f aca="false">'Feed Ingredients'!D20</f>
        <v>0</v>
      </c>
      <c r="E17" s="63" t="n">
        <f aca="false">'Feed Ingredients'!H20</f>
        <v>12</v>
      </c>
      <c r="F17" s="63" t="n">
        <f aca="false">B17/100*C17</f>
        <v>0</v>
      </c>
      <c r="G17" s="63" t="n">
        <f aca="false">B17/100*D17</f>
        <v>0</v>
      </c>
      <c r="H17" s="63" t="n">
        <f aca="false">B17/100*E17</f>
        <v>0.12</v>
      </c>
      <c r="I17" s="64" t="n">
        <f aca="false">B17/100*'Feed Ingredients'!F20</f>
        <v>0.16</v>
      </c>
      <c r="J17" s="64" t="n">
        <f aca="false">B17/100*'Feed Ingredients'!G20</f>
        <v>0.21</v>
      </c>
    </row>
    <row r="18" customFormat="false" ht="15" hidden="false" customHeight="true" outlineLevel="0" collapsed="false">
      <c r="A18" s="41" t="s">
        <v>34</v>
      </c>
      <c r="B18" s="65" t="n">
        <v>1</v>
      </c>
      <c r="C18" s="66" t="n">
        <f aca="false">'Feed Ingredients'!C21</f>
        <v>0</v>
      </c>
      <c r="D18" s="66" t="n">
        <f aca="false">'Feed Ingredients'!D21</f>
        <v>0</v>
      </c>
      <c r="E18" s="67" t="n">
        <f aca="false">'Feed Ingredients'!H21</f>
        <v>35</v>
      </c>
      <c r="F18" s="67" t="n">
        <f aca="false">B18/100*C18</f>
        <v>0</v>
      </c>
      <c r="G18" s="67" t="n">
        <f aca="false">B18/100*D18</f>
        <v>0</v>
      </c>
      <c r="H18" s="67" t="n">
        <f aca="false">B18/100*E18</f>
        <v>0.35</v>
      </c>
      <c r="I18" s="68" t="n">
        <f aca="false">B18/100*'Feed Ingredients'!F21</f>
        <v>0</v>
      </c>
      <c r="J18" s="68" t="n">
        <f aca="false">B18/100*'Feed Ingredients'!G21</f>
        <v>0</v>
      </c>
    </row>
    <row r="19" customFormat="false" ht="15" hidden="false" customHeight="true" outlineLevel="0" collapsed="false">
      <c r="A19" s="69" t="s">
        <v>229</v>
      </c>
      <c r="B19" s="70" t="n">
        <f aca="false">SUM(B7:B18)</f>
        <v>99</v>
      </c>
      <c r="C19" s="71"/>
      <c r="D19" s="71"/>
      <c r="E19" s="71"/>
      <c r="F19" s="72" t="n">
        <f aca="false">SUM(F7:F18)</f>
        <v>10.845</v>
      </c>
      <c r="G19" s="70" t="n">
        <f aca="false">SUM(G7:G18)</f>
        <v>20.43</v>
      </c>
      <c r="H19" s="73" t="n">
        <f aca="false">SUM(H7:H18)</f>
        <v>4.572</v>
      </c>
      <c r="I19" s="74" t="n">
        <f aca="false">SUM(I7:I18)</f>
        <v>1.1259</v>
      </c>
      <c r="J19" s="74" t="n">
        <f aca="false">SUM(J7:J18)</f>
        <v>0.6069</v>
      </c>
    </row>
    <row r="20" customFormat="false" ht="15" hidden="false" customHeight="true" outlineLevel="0" collapsed="false">
      <c r="A20" s="13" t="s">
        <v>230</v>
      </c>
      <c r="B20" s="66" t="n">
        <f aca="false">F19</f>
        <v>10.845</v>
      </c>
      <c r="C20" s="13" t="s">
        <v>231</v>
      </c>
      <c r="D20" s="66" t="n">
        <f aca="false">G19</f>
        <v>20.43</v>
      </c>
      <c r="E20" s="13" t="s">
        <v>232</v>
      </c>
      <c r="F20" s="67" t="n">
        <f aca="false">H19</f>
        <v>4.572</v>
      </c>
      <c r="G20" s="13" t="s">
        <v>233</v>
      </c>
      <c r="H20" s="66" t="n">
        <f aca="false">IF(J19=0,"N/A",I19/J19)</f>
        <v>1.85516559565002</v>
      </c>
    </row>
    <row r="21" customFormat="false" ht="15" hidden="false" customHeight="true" outlineLevel="0" collapsed="false">
      <c r="A21" s="13" t="s">
        <v>234</v>
      </c>
      <c r="B21" s="56" t="n">
        <f aca="false">H19*E5/1000</f>
        <v>1.3716</v>
      </c>
      <c r="C21" s="13" t="s">
        <v>235</v>
      </c>
      <c r="D21" s="56" t="n">
        <f aca="false">B21*G5</f>
        <v>342.9</v>
      </c>
      <c r="E21" s="13" t="s">
        <v>236</v>
      </c>
      <c r="F21" s="75" t="n">
        <f aca="false">D21*30</f>
        <v>10287</v>
      </c>
    </row>
    <row r="22" customFormat="false" ht="15" hidden="false" customHeight="true" outlineLevel="0" collapsed="false">
      <c r="A22" s="13" t="s">
        <v>237</v>
      </c>
      <c r="B22" s="66" t="n">
        <f aca="false">F19*E5/1000</f>
        <v>3.2535</v>
      </c>
      <c r="C22" s="13" t="s">
        <v>238</v>
      </c>
      <c r="D22" s="76" t="n">
        <f aca="false">G19*E5/100</f>
        <v>61.29</v>
      </c>
    </row>
    <row r="24" customFormat="false" ht="15" hidden="false" customHeight="true" outlineLevel="0" collapsed="false">
      <c r="A24" s="77" t="s">
        <v>239</v>
      </c>
      <c r="B24" s="77"/>
      <c r="C24" s="77"/>
      <c r="D24" s="77"/>
      <c r="E24" s="77"/>
      <c r="F24" s="77"/>
      <c r="G24" s="77"/>
      <c r="H24" s="77"/>
      <c r="I24" s="77"/>
      <c r="J24" s="77"/>
      <c r="K24" s="77"/>
    </row>
    <row r="25" customFormat="false" ht="15" hidden="false" customHeight="true" outlineLevel="0" collapsed="false">
      <c r="A25" s="78" t="s">
        <v>240</v>
      </c>
      <c r="C25" s="13" t="s">
        <v>218</v>
      </c>
      <c r="E25" s="14" t="n">
        <v>500</v>
      </c>
      <c r="F25" s="13" t="s">
        <v>219</v>
      </c>
      <c r="G25" s="46" t="n">
        <f aca="false">'Flock Calculator'!$B$6</f>
        <v>250</v>
      </c>
    </row>
    <row r="26" customFormat="false" ht="15" hidden="false" customHeight="true" outlineLevel="0" collapsed="false">
      <c r="A26" s="16" t="s">
        <v>2</v>
      </c>
      <c r="B26" s="16" t="s">
        <v>220</v>
      </c>
      <c r="C26" s="16" t="s">
        <v>221</v>
      </c>
      <c r="D26" s="16" t="s">
        <v>222</v>
      </c>
      <c r="E26" s="16" t="s">
        <v>223</v>
      </c>
      <c r="F26" s="16" t="s">
        <v>224</v>
      </c>
      <c r="G26" s="16" t="s">
        <v>225</v>
      </c>
      <c r="H26" s="16" t="s">
        <v>226</v>
      </c>
      <c r="I26" s="16" t="s">
        <v>227</v>
      </c>
      <c r="J26" s="16" t="s">
        <v>228</v>
      </c>
    </row>
    <row r="27" customFormat="false" ht="15" hidden="false" customHeight="true" outlineLevel="0" collapsed="false">
      <c r="A27" s="79" t="s">
        <v>13</v>
      </c>
      <c r="B27" s="80" t="n">
        <v>22</v>
      </c>
      <c r="C27" s="81" t="n">
        <f aca="false">'Feed Ingredients'!C6</f>
        <v>12.8</v>
      </c>
      <c r="D27" s="81" t="n">
        <f aca="false">'Feed Ingredients'!D6</f>
        <v>11.5</v>
      </c>
      <c r="E27" s="82" t="n">
        <f aca="false">'Feed Ingredients'!H6</f>
        <v>3.2</v>
      </c>
      <c r="F27" s="82" t="n">
        <f aca="false">B27/100*C27</f>
        <v>2.816</v>
      </c>
      <c r="G27" s="82" t="n">
        <f aca="false">B27/100*D27</f>
        <v>2.53</v>
      </c>
      <c r="H27" s="82" t="n">
        <f aca="false">B27/100*E27</f>
        <v>0.704</v>
      </c>
      <c r="I27" s="83" t="n">
        <f aca="false">B27/100*'Feed Ingredients'!F6</f>
        <v>0.011</v>
      </c>
      <c r="J27" s="83" t="n">
        <f aca="false">B27/100*'Feed Ingredients'!G6</f>
        <v>0.077</v>
      </c>
    </row>
    <row r="28" customFormat="false" ht="15" hidden="false" customHeight="true" outlineLevel="0" collapsed="false">
      <c r="A28" s="41" t="s">
        <v>14</v>
      </c>
      <c r="B28" s="65" t="n">
        <v>10</v>
      </c>
      <c r="C28" s="66" t="n">
        <f aca="false">'Feed Ingredients'!C7</f>
        <v>13.2</v>
      </c>
      <c r="D28" s="66" t="n">
        <f aca="false">'Feed Ingredients'!D7</f>
        <v>12.5</v>
      </c>
      <c r="E28" s="67" t="n">
        <f aca="false">'Feed Ingredients'!H7</f>
        <v>4</v>
      </c>
      <c r="F28" s="67" t="n">
        <f aca="false">B28/100*C28</f>
        <v>1.32</v>
      </c>
      <c r="G28" s="67" t="n">
        <f aca="false">B28/100*D28</f>
        <v>1.25</v>
      </c>
      <c r="H28" s="67" t="n">
        <f aca="false">B28/100*E28</f>
        <v>0.4</v>
      </c>
      <c r="I28" s="68" t="n">
        <f aca="false">B28/100*'Feed Ingredients'!F7</f>
        <v>0.005</v>
      </c>
      <c r="J28" s="68" t="n">
        <f aca="false">B28/100*'Feed Ingredients'!G7</f>
        <v>0.04</v>
      </c>
    </row>
    <row r="29" customFormat="false" ht="15" hidden="false" customHeight="true" outlineLevel="0" collapsed="false">
      <c r="A29" s="79" t="s">
        <v>15</v>
      </c>
      <c r="B29" s="80" t="n">
        <v>24</v>
      </c>
      <c r="C29" s="81" t="n">
        <f aca="false">'Feed Ingredients'!C8</f>
        <v>12</v>
      </c>
      <c r="D29" s="81" t="n">
        <f aca="false">'Feed Ingredients'!D8</f>
        <v>32</v>
      </c>
      <c r="E29" s="82" t="n">
        <f aca="false">'Feed Ingredients'!H8</f>
        <v>5.5</v>
      </c>
      <c r="F29" s="82" t="n">
        <f aca="false">B29/100*C29</f>
        <v>2.88</v>
      </c>
      <c r="G29" s="82" t="n">
        <f aca="false">B29/100*D29</f>
        <v>7.68</v>
      </c>
      <c r="H29" s="82" t="n">
        <f aca="false">B29/100*E29</f>
        <v>1.32</v>
      </c>
      <c r="I29" s="83" t="n">
        <f aca="false">B29/100*'Feed Ingredients'!F8</f>
        <v>0.06</v>
      </c>
      <c r="J29" s="83" t="n">
        <f aca="false">B29/100*'Feed Ingredients'!G8</f>
        <v>0.096</v>
      </c>
    </row>
    <row r="30" customFormat="false" ht="15" hidden="false" customHeight="true" outlineLevel="0" collapsed="false">
      <c r="A30" s="41" t="s">
        <v>19</v>
      </c>
      <c r="B30" s="65" t="n">
        <v>15</v>
      </c>
      <c r="C30" s="66" t="n">
        <f aca="false">'Feed Ingredients'!C10</f>
        <v>13.8</v>
      </c>
      <c r="D30" s="66" t="n">
        <f aca="false">'Feed Ingredients'!D10</f>
        <v>9</v>
      </c>
      <c r="E30" s="67" t="n">
        <f aca="false">'Feed Ingredients'!H10</f>
        <v>4.8</v>
      </c>
      <c r="F30" s="67" t="n">
        <f aca="false">B30/100*C30</f>
        <v>2.07</v>
      </c>
      <c r="G30" s="67" t="n">
        <f aca="false">B30/100*D30</f>
        <v>1.35</v>
      </c>
      <c r="H30" s="67" t="n">
        <f aca="false">B30/100*E30</f>
        <v>0.72</v>
      </c>
      <c r="I30" s="68" t="n">
        <f aca="false">B30/100*'Feed Ingredients'!F10</f>
        <v>0.0045</v>
      </c>
      <c r="J30" s="68" t="n">
        <f aca="false">B30/100*'Feed Ingredients'!G10</f>
        <v>0.042</v>
      </c>
    </row>
    <row r="31" customFormat="false" ht="15" hidden="false" customHeight="true" outlineLevel="0" collapsed="false">
      <c r="A31" s="79" t="s">
        <v>17</v>
      </c>
      <c r="B31" s="80" t="n">
        <v>5</v>
      </c>
      <c r="C31" s="81" t="n">
        <f aca="false">'Feed Ingredients'!C9</f>
        <v>8.5</v>
      </c>
      <c r="D31" s="81" t="n">
        <f aca="false">'Feed Ingredients'!D9</f>
        <v>18</v>
      </c>
      <c r="E31" s="82" t="n">
        <f aca="false">'Feed Ingredients'!H9</f>
        <v>2.8</v>
      </c>
      <c r="F31" s="82" t="n">
        <f aca="false">B31/100*C31</f>
        <v>0.425</v>
      </c>
      <c r="G31" s="82" t="n">
        <f aca="false">B31/100*D31</f>
        <v>0.9</v>
      </c>
      <c r="H31" s="82" t="n">
        <f aca="false">B31/100*E31</f>
        <v>0.14</v>
      </c>
      <c r="I31" s="83" t="n">
        <f aca="false">B31/100*'Feed Ingredients'!F9</f>
        <v>0.07</v>
      </c>
      <c r="J31" s="83" t="n">
        <f aca="false">B31/100*'Feed Ingredients'!G9</f>
        <v>0.0125</v>
      </c>
    </row>
    <row r="32" customFormat="false" ht="15" hidden="false" customHeight="true" outlineLevel="0" collapsed="false">
      <c r="A32" s="41" t="s">
        <v>23</v>
      </c>
      <c r="B32" s="65" t="n">
        <v>12</v>
      </c>
      <c r="C32" s="66" t="n">
        <f aca="false">'Feed Ingredients'!C13</f>
        <v>11.5</v>
      </c>
      <c r="D32" s="66" t="n">
        <f aca="false">'Feed Ingredients'!D13</f>
        <v>41</v>
      </c>
      <c r="E32" s="67" t="n">
        <f aca="false">'Feed Ingredients'!H13</f>
        <v>6.5</v>
      </c>
      <c r="F32" s="67" t="n">
        <f aca="false">B32/100*C32</f>
        <v>1.38</v>
      </c>
      <c r="G32" s="67" t="n">
        <f aca="false">B32/100*D32</f>
        <v>4.92</v>
      </c>
      <c r="H32" s="67" t="n">
        <f aca="false">B32/100*E32</f>
        <v>0.78</v>
      </c>
      <c r="I32" s="68" t="n">
        <f aca="false">B32/100*'Feed Ingredients'!F13</f>
        <v>0.024</v>
      </c>
      <c r="J32" s="68" t="n">
        <f aca="false">B32/100*'Feed Ingredients'!G13</f>
        <v>0.132</v>
      </c>
    </row>
    <row r="33" customFormat="false" ht="15" hidden="false" customHeight="true" outlineLevel="0" collapsed="false">
      <c r="A33" s="79" t="s">
        <v>22</v>
      </c>
      <c r="B33" s="80" t="n">
        <v>5</v>
      </c>
      <c r="C33" s="81" t="n">
        <f aca="false">'Feed Ingredients'!C12</f>
        <v>10.5</v>
      </c>
      <c r="D33" s="81" t="n">
        <f aca="false">'Feed Ingredients'!D12</f>
        <v>5</v>
      </c>
      <c r="E33" s="82" t="n">
        <f aca="false">'Feed Ingredients'!H12</f>
        <v>2.5</v>
      </c>
      <c r="F33" s="82" t="n">
        <f aca="false">B33/100*C33</f>
        <v>0.525</v>
      </c>
      <c r="G33" s="82" t="n">
        <f aca="false">B33/100*D33</f>
        <v>0.25</v>
      </c>
      <c r="H33" s="82" t="n">
        <f aca="false">B33/100*E33</f>
        <v>0.125</v>
      </c>
      <c r="I33" s="83" t="n">
        <f aca="false">B33/100*'Feed Ingredients'!F12</f>
        <v>0.045</v>
      </c>
      <c r="J33" s="83" t="n">
        <f aca="false">B33/100*'Feed Ingredients'!G12</f>
        <v>0.005</v>
      </c>
    </row>
    <row r="34" customFormat="false" ht="15" hidden="false" customHeight="true" outlineLevel="0" collapsed="false">
      <c r="A34" s="41" t="s">
        <v>25</v>
      </c>
      <c r="B34" s="65" t="n">
        <v>2</v>
      </c>
      <c r="C34" s="66" t="n">
        <f aca="false">'Feed Ingredients'!C14</f>
        <v>10</v>
      </c>
      <c r="D34" s="66" t="n">
        <f aca="false">'Feed Ingredients'!D14</f>
        <v>34</v>
      </c>
      <c r="E34" s="67" t="n">
        <f aca="false">'Feed Ingredients'!H14</f>
        <v>5.8</v>
      </c>
      <c r="F34" s="67" t="n">
        <f aca="false">B34/100*C34</f>
        <v>0.2</v>
      </c>
      <c r="G34" s="67" t="n">
        <f aca="false">B34/100*D34</f>
        <v>0.68</v>
      </c>
      <c r="H34" s="67" t="n">
        <f aca="false">B34/100*E34</f>
        <v>0.116</v>
      </c>
      <c r="I34" s="68" t="n">
        <f aca="false">B34/100*'Feed Ingredients'!F14</f>
        <v>0.007</v>
      </c>
      <c r="J34" s="68" t="n">
        <f aca="false">B34/100*'Feed Ingredients'!G14</f>
        <v>0.02</v>
      </c>
    </row>
    <row r="35" customFormat="false" ht="15" hidden="false" customHeight="true" outlineLevel="0" collapsed="false">
      <c r="A35" s="79" t="s">
        <v>30</v>
      </c>
      <c r="B35" s="80" t="n">
        <v>1.5</v>
      </c>
      <c r="C35" s="81" t="n">
        <f aca="false">'Feed Ingredients'!C18</f>
        <v>0</v>
      </c>
      <c r="D35" s="81" t="n">
        <f aca="false">'Feed Ingredients'!D18</f>
        <v>0</v>
      </c>
      <c r="E35" s="82" t="n">
        <f aca="false">'Feed Ingredients'!H18</f>
        <v>1.2</v>
      </c>
      <c r="F35" s="82" t="n">
        <f aca="false">B35/100*C35</f>
        <v>0</v>
      </c>
      <c r="G35" s="82" t="n">
        <f aca="false">B35/100*D35</f>
        <v>0</v>
      </c>
      <c r="H35" s="82" t="n">
        <f aca="false">B35/100*E35</f>
        <v>0.018</v>
      </c>
      <c r="I35" s="83" t="n">
        <f aca="false">B35/100*'Feed Ingredients'!F18</f>
        <v>0</v>
      </c>
      <c r="J35" s="83" t="n">
        <f aca="false">B35/100*'Feed Ingredients'!G18</f>
        <v>0</v>
      </c>
    </row>
    <row r="36" customFormat="false" ht="15" hidden="false" customHeight="true" outlineLevel="0" collapsed="false">
      <c r="A36" s="41" t="s">
        <v>32</v>
      </c>
      <c r="B36" s="65" t="n">
        <v>1.5</v>
      </c>
      <c r="C36" s="66" t="n">
        <f aca="false">'Feed Ingredients'!C19</f>
        <v>0</v>
      </c>
      <c r="D36" s="66" t="n">
        <f aca="false">'Feed Ingredients'!D19</f>
        <v>0</v>
      </c>
      <c r="E36" s="67" t="n">
        <f aca="false">'Feed Ingredients'!H19</f>
        <v>0.8</v>
      </c>
      <c r="F36" s="67" t="n">
        <f aca="false">B36/100*C36</f>
        <v>0</v>
      </c>
      <c r="G36" s="67" t="n">
        <f aca="false">B36/100*D36</f>
        <v>0</v>
      </c>
      <c r="H36" s="67" t="n">
        <f aca="false">B36/100*E36</f>
        <v>0.012</v>
      </c>
      <c r="I36" s="68" t="n">
        <f aca="false">B36/100*'Feed Ingredients'!F19</f>
        <v>0.57</v>
      </c>
      <c r="J36" s="68" t="n">
        <f aca="false">B36/100*'Feed Ingredients'!G19</f>
        <v>0</v>
      </c>
    </row>
    <row r="37" customFormat="false" ht="15" hidden="false" customHeight="true" outlineLevel="0" collapsed="false">
      <c r="A37" s="79" t="s">
        <v>33</v>
      </c>
      <c r="B37" s="80" t="n">
        <v>1</v>
      </c>
      <c r="C37" s="81" t="n">
        <f aca="false">'Feed Ingredients'!C20</f>
        <v>0</v>
      </c>
      <c r="D37" s="81" t="n">
        <f aca="false">'Feed Ingredients'!D20</f>
        <v>0</v>
      </c>
      <c r="E37" s="82" t="n">
        <f aca="false">'Feed Ingredients'!H20</f>
        <v>12</v>
      </c>
      <c r="F37" s="82" t="n">
        <f aca="false">B37/100*C37</f>
        <v>0</v>
      </c>
      <c r="G37" s="82" t="n">
        <f aca="false">B37/100*D37</f>
        <v>0</v>
      </c>
      <c r="H37" s="82" t="n">
        <f aca="false">B37/100*E37</f>
        <v>0.12</v>
      </c>
      <c r="I37" s="83" t="n">
        <f aca="false">B37/100*'Feed Ingredients'!F20</f>
        <v>0.16</v>
      </c>
      <c r="J37" s="83" t="n">
        <f aca="false">B37/100*'Feed Ingredients'!G20</f>
        <v>0.21</v>
      </c>
    </row>
    <row r="38" customFormat="false" ht="15" hidden="false" customHeight="true" outlineLevel="0" collapsed="false">
      <c r="A38" s="41" t="s">
        <v>34</v>
      </c>
      <c r="B38" s="65" t="n">
        <v>1</v>
      </c>
      <c r="C38" s="66" t="n">
        <f aca="false">'Feed Ingredients'!C21</f>
        <v>0</v>
      </c>
      <c r="D38" s="66" t="n">
        <f aca="false">'Feed Ingredients'!D21</f>
        <v>0</v>
      </c>
      <c r="E38" s="67" t="n">
        <f aca="false">'Feed Ingredients'!H21</f>
        <v>35</v>
      </c>
      <c r="F38" s="67" t="n">
        <f aca="false">B38/100*C38</f>
        <v>0</v>
      </c>
      <c r="G38" s="67" t="n">
        <f aca="false">B38/100*D38</f>
        <v>0</v>
      </c>
      <c r="H38" s="67" t="n">
        <f aca="false">B38/100*E38</f>
        <v>0.35</v>
      </c>
      <c r="I38" s="68" t="n">
        <f aca="false">B38/100*'Feed Ingredients'!F21</f>
        <v>0</v>
      </c>
      <c r="J38" s="68" t="n">
        <f aca="false">B38/100*'Feed Ingredients'!G21</f>
        <v>0</v>
      </c>
    </row>
    <row r="39" customFormat="false" ht="15" hidden="false" customHeight="true" outlineLevel="0" collapsed="false">
      <c r="A39" s="84" t="s">
        <v>229</v>
      </c>
      <c r="B39" s="70" t="n">
        <f aca="false">SUM(B27:B38)</f>
        <v>100</v>
      </c>
      <c r="C39" s="71"/>
      <c r="D39" s="71"/>
      <c r="E39" s="71"/>
      <c r="F39" s="72" t="n">
        <f aca="false">SUM(F27:F38)</f>
        <v>11.616</v>
      </c>
      <c r="G39" s="70" t="n">
        <f aca="false">SUM(G27:G38)</f>
        <v>19.56</v>
      </c>
      <c r="H39" s="73" t="n">
        <f aca="false">SUM(H27:H38)</f>
        <v>4.805</v>
      </c>
      <c r="I39" s="74" t="n">
        <f aca="false">SUM(I27:I38)</f>
        <v>0.9565</v>
      </c>
      <c r="J39" s="74" t="n">
        <f aca="false">SUM(J27:J38)</f>
        <v>0.6345</v>
      </c>
    </row>
    <row r="40" customFormat="false" ht="15" hidden="false" customHeight="true" outlineLevel="0" collapsed="false">
      <c r="A40" s="13" t="s">
        <v>230</v>
      </c>
      <c r="B40" s="66" t="n">
        <f aca="false">F39</f>
        <v>11.616</v>
      </c>
      <c r="C40" s="13" t="s">
        <v>231</v>
      </c>
      <c r="D40" s="66" t="n">
        <f aca="false">G39</f>
        <v>19.56</v>
      </c>
      <c r="E40" s="13" t="s">
        <v>232</v>
      </c>
      <c r="F40" s="67" t="n">
        <f aca="false">H39</f>
        <v>4.805</v>
      </c>
      <c r="G40" s="13" t="s">
        <v>233</v>
      </c>
      <c r="H40" s="66" t="n">
        <f aca="false">IF(J39=0,"N/A",I39/J39)</f>
        <v>1.50748620961387</v>
      </c>
    </row>
    <row r="41" customFormat="false" ht="15" hidden="false" customHeight="true" outlineLevel="0" collapsed="false">
      <c r="A41" s="13" t="s">
        <v>234</v>
      </c>
      <c r="B41" s="56" t="n">
        <f aca="false">H39*E25/1000</f>
        <v>2.4025</v>
      </c>
      <c r="C41" s="13" t="s">
        <v>235</v>
      </c>
      <c r="D41" s="56" t="n">
        <f aca="false">B41*G25</f>
        <v>600.625</v>
      </c>
      <c r="E41" s="13" t="s">
        <v>236</v>
      </c>
      <c r="F41" s="75" t="n">
        <f aca="false">D41*30</f>
        <v>18018.75</v>
      </c>
    </row>
    <row r="42" customFormat="false" ht="15" hidden="false" customHeight="true" outlineLevel="0" collapsed="false">
      <c r="A42" s="13" t="s">
        <v>237</v>
      </c>
      <c r="B42" s="66" t="n">
        <f aca="false">F39*E25/1000</f>
        <v>5.808</v>
      </c>
      <c r="C42" s="13" t="s">
        <v>238</v>
      </c>
      <c r="D42" s="76" t="n">
        <f aca="false">G39*E25/100</f>
        <v>97.8</v>
      </c>
    </row>
    <row r="44" customFormat="false" ht="15" hidden="false" customHeight="true" outlineLevel="0" collapsed="false">
      <c r="A44" s="85" t="s">
        <v>241</v>
      </c>
      <c r="B44" s="85"/>
      <c r="C44" s="85"/>
      <c r="D44" s="85"/>
      <c r="E44" s="85"/>
      <c r="F44" s="85"/>
      <c r="G44" s="85"/>
      <c r="H44" s="85"/>
      <c r="I44" s="85"/>
      <c r="J44" s="85"/>
      <c r="K44" s="85"/>
    </row>
    <row r="45" customFormat="false" ht="15" hidden="false" customHeight="true" outlineLevel="0" collapsed="false">
      <c r="A45" s="86" t="s">
        <v>242</v>
      </c>
      <c r="C45" s="13" t="s">
        <v>218</v>
      </c>
      <c r="E45" s="14" t="n">
        <v>800</v>
      </c>
      <c r="F45" s="13" t="s">
        <v>219</v>
      </c>
      <c r="G45" s="46" t="n">
        <f aca="false">'Flock Calculator'!$B$6</f>
        <v>250</v>
      </c>
    </row>
    <row r="46" customFormat="false" ht="15" hidden="false" customHeight="true" outlineLevel="0" collapsed="false">
      <c r="A46" s="87" t="s">
        <v>2</v>
      </c>
      <c r="B46" s="87" t="s">
        <v>220</v>
      </c>
      <c r="C46" s="87" t="s">
        <v>221</v>
      </c>
      <c r="D46" s="87" t="s">
        <v>222</v>
      </c>
      <c r="E46" s="87" t="s">
        <v>223</v>
      </c>
      <c r="F46" s="87" t="s">
        <v>224</v>
      </c>
      <c r="G46" s="87" t="s">
        <v>225</v>
      </c>
      <c r="H46" s="87" t="s">
        <v>226</v>
      </c>
      <c r="I46" s="87" t="s">
        <v>227</v>
      </c>
      <c r="J46" s="87" t="s">
        <v>228</v>
      </c>
    </row>
    <row r="47" customFormat="false" ht="15" hidden="false" customHeight="true" outlineLevel="0" collapsed="false">
      <c r="A47" s="88" t="s">
        <v>13</v>
      </c>
      <c r="B47" s="89" t="n">
        <v>8</v>
      </c>
      <c r="C47" s="90" t="n">
        <f aca="false">'Feed Ingredients'!C6</f>
        <v>12.8</v>
      </c>
      <c r="D47" s="90" t="n">
        <f aca="false">'Feed Ingredients'!D6</f>
        <v>11.5</v>
      </c>
      <c r="E47" s="91" t="n">
        <f aca="false">'Feed Ingredients'!H6</f>
        <v>3.2</v>
      </c>
      <c r="F47" s="91" t="n">
        <f aca="false">B47/100*C47</f>
        <v>1.024</v>
      </c>
      <c r="G47" s="91" t="n">
        <f aca="false">B47/100*D47</f>
        <v>0.92</v>
      </c>
      <c r="H47" s="91" t="n">
        <f aca="false">B47/100*E47</f>
        <v>0.256</v>
      </c>
      <c r="I47" s="92" t="n">
        <f aca="false">B47/100*'Feed Ingredients'!F6</f>
        <v>0.004</v>
      </c>
      <c r="J47" s="92" t="n">
        <f aca="false">B47/100*'Feed Ingredients'!G6</f>
        <v>0.028</v>
      </c>
    </row>
    <row r="48" customFormat="false" ht="15" hidden="false" customHeight="true" outlineLevel="0" collapsed="false">
      <c r="A48" s="41" t="s">
        <v>14</v>
      </c>
      <c r="B48" s="65" t="n">
        <v>10</v>
      </c>
      <c r="C48" s="66" t="n">
        <f aca="false">'Feed Ingredients'!C7</f>
        <v>13.2</v>
      </c>
      <c r="D48" s="66" t="n">
        <f aca="false">'Feed Ingredients'!D7</f>
        <v>12.5</v>
      </c>
      <c r="E48" s="67" t="n">
        <f aca="false">'Feed Ingredients'!H7</f>
        <v>4</v>
      </c>
      <c r="F48" s="67" t="n">
        <f aca="false">B48/100*C48</f>
        <v>1.32</v>
      </c>
      <c r="G48" s="67" t="n">
        <f aca="false">B48/100*D48</f>
        <v>1.25</v>
      </c>
      <c r="H48" s="67" t="n">
        <f aca="false">B48/100*E48</f>
        <v>0.4</v>
      </c>
      <c r="I48" s="68" t="n">
        <f aca="false">B48/100*'Feed Ingredients'!F7</f>
        <v>0.005</v>
      </c>
      <c r="J48" s="68" t="n">
        <f aca="false">B48/100*'Feed Ingredients'!G7</f>
        <v>0.04</v>
      </c>
    </row>
    <row r="49" customFormat="false" ht="15" hidden="false" customHeight="true" outlineLevel="0" collapsed="false">
      <c r="A49" s="88" t="s">
        <v>15</v>
      </c>
      <c r="B49" s="89" t="n">
        <v>18</v>
      </c>
      <c r="C49" s="90" t="n">
        <f aca="false">'Feed Ingredients'!C8</f>
        <v>12</v>
      </c>
      <c r="D49" s="90" t="n">
        <f aca="false">'Feed Ingredients'!D8</f>
        <v>32</v>
      </c>
      <c r="E49" s="91" t="n">
        <f aca="false">'Feed Ingredients'!H8</f>
        <v>5.5</v>
      </c>
      <c r="F49" s="91" t="n">
        <f aca="false">B49/100*C49</f>
        <v>2.16</v>
      </c>
      <c r="G49" s="91" t="n">
        <f aca="false">B49/100*D49</f>
        <v>5.76</v>
      </c>
      <c r="H49" s="91" t="n">
        <f aca="false">B49/100*E49</f>
        <v>0.99</v>
      </c>
      <c r="I49" s="92" t="n">
        <f aca="false">B49/100*'Feed Ingredients'!F8</f>
        <v>0.045</v>
      </c>
      <c r="J49" s="92" t="n">
        <f aca="false">B49/100*'Feed Ingredients'!G8</f>
        <v>0.072</v>
      </c>
    </row>
    <row r="50" customFormat="false" ht="15" hidden="false" customHeight="true" outlineLevel="0" collapsed="false">
      <c r="A50" s="41" t="s">
        <v>19</v>
      </c>
      <c r="B50" s="65" t="n">
        <v>18</v>
      </c>
      <c r="C50" s="66" t="n">
        <f aca="false">'Feed Ingredients'!C10</f>
        <v>13.8</v>
      </c>
      <c r="D50" s="66" t="n">
        <f aca="false">'Feed Ingredients'!D10</f>
        <v>9</v>
      </c>
      <c r="E50" s="67" t="n">
        <f aca="false">'Feed Ingredients'!H10</f>
        <v>4.8</v>
      </c>
      <c r="F50" s="67" t="n">
        <f aca="false">B50/100*C50</f>
        <v>2.484</v>
      </c>
      <c r="G50" s="67" t="n">
        <f aca="false">B50/100*D50</f>
        <v>1.62</v>
      </c>
      <c r="H50" s="67" t="n">
        <f aca="false">B50/100*E50</f>
        <v>0.864</v>
      </c>
      <c r="I50" s="68" t="n">
        <f aca="false">B50/100*'Feed Ingredients'!F10</f>
        <v>0.0054</v>
      </c>
      <c r="J50" s="68" t="n">
        <f aca="false">B50/100*'Feed Ingredients'!G10</f>
        <v>0.0504</v>
      </c>
    </row>
    <row r="51" customFormat="false" ht="15" hidden="false" customHeight="true" outlineLevel="0" collapsed="false">
      <c r="A51" s="88" t="s">
        <v>17</v>
      </c>
      <c r="B51" s="89" t="n">
        <v>0</v>
      </c>
      <c r="C51" s="90" t="n">
        <f aca="false">'Feed Ingredients'!C9</f>
        <v>8.5</v>
      </c>
      <c r="D51" s="90" t="n">
        <f aca="false">'Feed Ingredients'!D9</f>
        <v>18</v>
      </c>
      <c r="E51" s="91" t="n">
        <f aca="false">'Feed Ingredients'!H9</f>
        <v>2.8</v>
      </c>
      <c r="F51" s="91" t="n">
        <f aca="false">B51/100*C51</f>
        <v>0</v>
      </c>
      <c r="G51" s="91" t="n">
        <f aca="false">B51/100*D51</f>
        <v>0</v>
      </c>
      <c r="H51" s="91" t="n">
        <f aca="false">B51/100*E51</f>
        <v>0</v>
      </c>
      <c r="I51" s="92" t="n">
        <f aca="false">B51/100*'Feed Ingredients'!F9</f>
        <v>0</v>
      </c>
      <c r="J51" s="92" t="n">
        <f aca="false">B51/100*'Feed Ingredients'!G9</f>
        <v>0</v>
      </c>
    </row>
    <row r="52" customFormat="false" ht="15" hidden="false" customHeight="true" outlineLevel="0" collapsed="false">
      <c r="A52" s="41" t="s">
        <v>23</v>
      </c>
      <c r="B52" s="65" t="n">
        <v>20</v>
      </c>
      <c r="C52" s="66" t="n">
        <f aca="false">'Feed Ingredients'!C13</f>
        <v>11.5</v>
      </c>
      <c r="D52" s="66" t="n">
        <f aca="false">'Feed Ingredients'!D13</f>
        <v>41</v>
      </c>
      <c r="E52" s="67" t="n">
        <f aca="false">'Feed Ingredients'!H13</f>
        <v>6.5</v>
      </c>
      <c r="F52" s="67" t="n">
        <f aca="false">B52/100*C52</f>
        <v>2.3</v>
      </c>
      <c r="G52" s="67" t="n">
        <f aca="false">B52/100*D52</f>
        <v>8.2</v>
      </c>
      <c r="H52" s="67" t="n">
        <f aca="false">B52/100*E52</f>
        <v>1.3</v>
      </c>
      <c r="I52" s="68" t="n">
        <f aca="false">B52/100*'Feed Ingredients'!F13</f>
        <v>0.04</v>
      </c>
      <c r="J52" s="68" t="n">
        <f aca="false">B52/100*'Feed Ingredients'!G13</f>
        <v>0.22</v>
      </c>
    </row>
    <row r="53" customFormat="false" ht="15" hidden="false" customHeight="true" outlineLevel="0" collapsed="false">
      <c r="A53" s="88" t="s">
        <v>22</v>
      </c>
      <c r="B53" s="89" t="n">
        <v>3</v>
      </c>
      <c r="C53" s="90" t="n">
        <f aca="false">'Feed Ingredients'!C12</f>
        <v>10.5</v>
      </c>
      <c r="D53" s="90" t="n">
        <f aca="false">'Feed Ingredients'!D12</f>
        <v>5</v>
      </c>
      <c r="E53" s="91" t="n">
        <f aca="false">'Feed Ingredients'!H12</f>
        <v>2.5</v>
      </c>
      <c r="F53" s="91" t="n">
        <f aca="false">B53/100*C53</f>
        <v>0.315</v>
      </c>
      <c r="G53" s="91" t="n">
        <f aca="false">B53/100*D53</f>
        <v>0.15</v>
      </c>
      <c r="H53" s="91" t="n">
        <f aca="false">B53/100*E53</f>
        <v>0.075</v>
      </c>
      <c r="I53" s="92" t="n">
        <f aca="false">B53/100*'Feed Ingredients'!F12</f>
        <v>0.027</v>
      </c>
      <c r="J53" s="92" t="n">
        <f aca="false">B53/100*'Feed Ingredients'!G12</f>
        <v>0.003</v>
      </c>
    </row>
    <row r="54" customFormat="false" ht="15" hidden="false" customHeight="true" outlineLevel="0" collapsed="false">
      <c r="A54" s="41" t="s">
        <v>25</v>
      </c>
      <c r="B54" s="65" t="n">
        <v>15</v>
      </c>
      <c r="C54" s="66" t="n">
        <f aca="false">'Feed Ingredients'!C14</f>
        <v>10</v>
      </c>
      <c r="D54" s="66" t="n">
        <f aca="false">'Feed Ingredients'!D14</f>
        <v>34</v>
      </c>
      <c r="E54" s="67" t="n">
        <f aca="false">'Feed Ingredients'!H14</f>
        <v>5.8</v>
      </c>
      <c r="F54" s="67" t="n">
        <f aca="false">B54/100*C54</f>
        <v>1.5</v>
      </c>
      <c r="G54" s="67" t="n">
        <f aca="false">B54/100*D54</f>
        <v>5.1</v>
      </c>
      <c r="H54" s="67" t="n">
        <f aca="false">B54/100*E54</f>
        <v>0.87</v>
      </c>
      <c r="I54" s="68" t="n">
        <f aca="false">B54/100*'Feed Ingredients'!F14</f>
        <v>0.0525</v>
      </c>
      <c r="J54" s="68" t="n">
        <f aca="false">B54/100*'Feed Ingredients'!G14</f>
        <v>0.15</v>
      </c>
    </row>
    <row r="55" customFormat="false" ht="15" hidden="false" customHeight="true" outlineLevel="0" collapsed="false">
      <c r="A55" s="88" t="s">
        <v>30</v>
      </c>
      <c r="B55" s="89" t="n">
        <v>1</v>
      </c>
      <c r="C55" s="90" t="n">
        <f aca="false">'Feed Ingredients'!C18</f>
        <v>0</v>
      </c>
      <c r="D55" s="90" t="n">
        <f aca="false">'Feed Ingredients'!D18</f>
        <v>0</v>
      </c>
      <c r="E55" s="91" t="n">
        <f aca="false">'Feed Ingredients'!H18</f>
        <v>1.2</v>
      </c>
      <c r="F55" s="91" t="n">
        <f aca="false">B55/100*C55</f>
        <v>0</v>
      </c>
      <c r="G55" s="91" t="n">
        <f aca="false">B55/100*D55</f>
        <v>0</v>
      </c>
      <c r="H55" s="91" t="n">
        <f aca="false">B55/100*E55</f>
        <v>0.012</v>
      </c>
      <c r="I55" s="92" t="n">
        <f aca="false">B55/100*'Feed Ingredients'!F18</f>
        <v>0</v>
      </c>
      <c r="J55" s="92" t="n">
        <f aca="false">B55/100*'Feed Ingredients'!G18</f>
        <v>0</v>
      </c>
    </row>
    <row r="56" customFormat="false" ht="15" hidden="false" customHeight="true" outlineLevel="0" collapsed="false">
      <c r="A56" s="41" t="s">
        <v>32</v>
      </c>
      <c r="B56" s="65" t="n">
        <v>1.5</v>
      </c>
      <c r="C56" s="66" t="n">
        <f aca="false">'Feed Ingredients'!C19</f>
        <v>0</v>
      </c>
      <c r="D56" s="66" t="n">
        <f aca="false">'Feed Ingredients'!D19</f>
        <v>0</v>
      </c>
      <c r="E56" s="67" t="n">
        <f aca="false">'Feed Ingredients'!H19</f>
        <v>0.8</v>
      </c>
      <c r="F56" s="67" t="n">
        <f aca="false">B56/100*C56</f>
        <v>0</v>
      </c>
      <c r="G56" s="67" t="n">
        <f aca="false">B56/100*D56</f>
        <v>0</v>
      </c>
      <c r="H56" s="67" t="n">
        <f aca="false">B56/100*E56</f>
        <v>0.012</v>
      </c>
      <c r="I56" s="68" t="n">
        <f aca="false">B56/100*'Feed Ingredients'!F19</f>
        <v>0.57</v>
      </c>
      <c r="J56" s="68" t="n">
        <f aca="false">B56/100*'Feed Ingredients'!G19</f>
        <v>0</v>
      </c>
    </row>
    <row r="57" customFormat="false" ht="15" hidden="false" customHeight="true" outlineLevel="0" collapsed="false">
      <c r="A57" s="88" t="s">
        <v>33</v>
      </c>
      <c r="B57" s="89" t="n">
        <v>1.5</v>
      </c>
      <c r="C57" s="90" t="n">
        <f aca="false">'Feed Ingredients'!C20</f>
        <v>0</v>
      </c>
      <c r="D57" s="90" t="n">
        <f aca="false">'Feed Ingredients'!D20</f>
        <v>0</v>
      </c>
      <c r="E57" s="91" t="n">
        <f aca="false">'Feed Ingredients'!H20</f>
        <v>12</v>
      </c>
      <c r="F57" s="91" t="n">
        <f aca="false">B57/100*C57</f>
        <v>0</v>
      </c>
      <c r="G57" s="91" t="n">
        <f aca="false">B57/100*D57</f>
        <v>0</v>
      </c>
      <c r="H57" s="91" t="n">
        <f aca="false">B57/100*E57</f>
        <v>0.18</v>
      </c>
      <c r="I57" s="92" t="n">
        <f aca="false">B57/100*'Feed Ingredients'!F20</f>
        <v>0.24</v>
      </c>
      <c r="J57" s="92" t="n">
        <f aca="false">B57/100*'Feed Ingredients'!G20</f>
        <v>0.315</v>
      </c>
    </row>
    <row r="58" customFormat="false" ht="15" hidden="false" customHeight="true" outlineLevel="0" collapsed="false">
      <c r="A58" s="41" t="s">
        <v>34</v>
      </c>
      <c r="B58" s="65" t="n">
        <v>1</v>
      </c>
      <c r="C58" s="66" t="n">
        <f aca="false">'Feed Ingredients'!C21</f>
        <v>0</v>
      </c>
      <c r="D58" s="66" t="n">
        <f aca="false">'Feed Ingredients'!D21</f>
        <v>0</v>
      </c>
      <c r="E58" s="67" t="n">
        <f aca="false">'Feed Ingredients'!H21</f>
        <v>35</v>
      </c>
      <c r="F58" s="67" t="n">
        <f aca="false">B58/100*C58</f>
        <v>0</v>
      </c>
      <c r="G58" s="67" t="n">
        <f aca="false">B58/100*D58</f>
        <v>0</v>
      </c>
      <c r="H58" s="67" t="n">
        <f aca="false">B58/100*E58</f>
        <v>0.35</v>
      </c>
      <c r="I58" s="68" t="n">
        <f aca="false">B58/100*'Feed Ingredients'!F21</f>
        <v>0</v>
      </c>
      <c r="J58" s="68" t="n">
        <f aca="false">B58/100*'Feed Ingredients'!G21</f>
        <v>0</v>
      </c>
    </row>
    <row r="59" customFormat="false" ht="15" hidden="false" customHeight="true" outlineLevel="0" collapsed="false">
      <c r="A59" s="93" t="s">
        <v>229</v>
      </c>
      <c r="B59" s="70" t="n">
        <f aca="false">SUM(B47:B58)</f>
        <v>97</v>
      </c>
      <c r="C59" s="71"/>
      <c r="D59" s="71"/>
      <c r="E59" s="71"/>
      <c r="F59" s="72" t="n">
        <f aca="false">SUM(F47:F58)</f>
        <v>11.103</v>
      </c>
      <c r="G59" s="70" t="n">
        <f aca="false">SUM(G47:G58)</f>
        <v>23</v>
      </c>
      <c r="H59" s="73" t="n">
        <f aca="false">SUM(H47:H58)</f>
        <v>5.309</v>
      </c>
      <c r="I59" s="74" t="n">
        <f aca="false">SUM(I47:I58)</f>
        <v>0.9889</v>
      </c>
      <c r="J59" s="74" t="n">
        <f aca="false">SUM(J47:J58)</f>
        <v>0.8784</v>
      </c>
    </row>
    <row r="60" customFormat="false" ht="15" hidden="false" customHeight="true" outlineLevel="0" collapsed="false">
      <c r="A60" s="13" t="s">
        <v>230</v>
      </c>
      <c r="B60" s="66" t="n">
        <f aca="false">F59</f>
        <v>11.103</v>
      </c>
      <c r="C60" s="13" t="s">
        <v>231</v>
      </c>
      <c r="D60" s="66" t="n">
        <f aca="false">G59</f>
        <v>23</v>
      </c>
      <c r="E60" s="13" t="s">
        <v>232</v>
      </c>
      <c r="F60" s="67" t="n">
        <f aca="false">H59</f>
        <v>5.309</v>
      </c>
      <c r="G60" s="13" t="s">
        <v>233</v>
      </c>
      <c r="H60" s="66" t="n">
        <f aca="false">IF(J59=0,"N/A",I59/J59)</f>
        <v>1.12579690346084</v>
      </c>
    </row>
    <row r="61" customFormat="false" ht="15" hidden="false" customHeight="true" outlineLevel="0" collapsed="false">
      <c r="A61" s="13" t="s">
        <v>234</v>
      </c>
      <c r="B61" s="56" t="n">
        <f aca="false">H59*E45/1000</f>
        <v>4.2472</v>
      </c>
      <c r="C61" s="13" t="s">
        <v>235</v>
      </c>
      <c r="D61" s="56" t="n">
        <f aca="false">B61*G45</f>
        <v>1061.8</v>
      </c>
      <c r="E61" s="13" t="s">
        <v>236</v>
      </c>
      <c r="F61" s="75" t="n">
        <f aca="false">D61*30</f>
        <v>31854</v>
      </c>
    </row>
    <row r="62" customFormat="false" ht="15" hidden="false" customHeight="true" outlineLevel="0" collapsed="false">
      <c r="A62" s="13" t="s">
        <v>237</v>
      </c>
      <c r="B62" s="66" t="n">
        <f aca="false">F59*E45/1000</f>
        <v>8.8824</v>
      </c>
      <c r="C62" s="13" t="s">
        <v>238</v>
      </c>
      <c r="D62" s="76" t="n">
        <f aca="false">G59*E45/100</f>
        <v>184</v>
      </c>
    </row>
    <row r="64" customFormat="false" ht="15" hidden="false" customHeight="true" outlineLevel="0" collapsed="false">
      <c r="A64" s="94" t="s">
        <v>243</v>
      </c>
      <c r="B64" s="94"/>
      <c r="C64" s="94"/>
      <c r="D64" s="94"/>
      <c r="E64" s="94"/>
      <c r="F64" s="94"/>
      <c r="G64" s="94"/>
      <c r="H64" s="94"/>
      <c r="I64" s="94"/>
      <c r="J64" s="94"/>
      <c r="K64" s="94"/>
    </row>
    <row r="65" customFormat="false" ht="15" hidden="false" customHeight="true" outlineLevel="0" collapsed="false">
      <c r="A65" s="95" t="s">
        <v>244</v>
      </c>
      <c r="C65" s="13" t="s">
        <v>218</v>
      </c>
      <c r="E65" s="14" t="n">
        <v>800</v>
      </c>
      <c r="F65" s="13" t="s">
        <v>219</v>
      </c>
      <c r="G65" s="46" t="n">
        <f aca="false">'Flock Calculator'!$B$6</f>
        <v>250</v>
      </c>
    </row>
    <row r="66" customFormat="false" ht="15" hidden="false" customHeight="true" outlineLevel="0" collapsed="false">
      <c r="A66" s="96" t="s">
        <v>2</v>
      </c>
      <c r="B66" s="96" t="s">
        <v>220</v>
      </c>
      <c r="C66" s="96" t="s">
        <v>221</v>
      </c>
      <c r="D66" s="96" t="s">
        <v>222</v>
      </c>
      <c r="E66" s="96" t="s">
        <v>223</v>
      </c>
      <c r="F66" s="96" t="s">
        <v>224</v>
      </c>
      <c r="G66" s="96" t="s">
        <v>225</v>
      </c>
      <c r="H66" s="96" t="s">
        <v>226</v>
      </c>
      <c r="I66" s="96" t="s">
        <v>227</v>
      </c>
      <c r="J66" s="96" t="s">
        <v>228</v>
      </c>
    </row>
    <row r="67" customFormat="false" ht="15" hidden="false" customHeight="true" outlineLevel="0" collapsed="false">
      <c r="A67" s="97" t="s">
        <v>13</v>
      </c>
      <c r="B67" s="98" t="n">
        <v>8</v>
      </c>
      <c r="C67" s="99" t="n">
        <f aca="false">'Feed Ingredients'!C6</f>
        <v>12.8</v>
      </c>
      <c r="D67" s="99" t="n">
        <f aca="false">'Feed Ingredients'!D6</f>
        <v>11.5</v>
      </c>
      <c r="E67" s="100" t="n">
        <f aca="false">'Feed Ingredients'!H6</f>
        <v>3.2</v>
      </c>
      <c r="F67" s="100" t="n">
        <f aca="false">B67/100*C67</f>
        <v>1.024</v>
      </c>
      <c r="G67" s="100" t="n">
        <f aca="false">B67/100*D67</f>
        <v>0.92</v>
      </c>
      <c r="H67" s="100" t="n">
        <f aca="false">B67/100*E67</f>
        <v>0.256</v>
      </c>
      <c r="I67" s="101" t="n">
        <f aca="false">B67/100*'Feed Ingredients'!F6</f>
        <v>0.004</v>
      </c>
      <c r="J67" s="101" t="n">
        <f aca="false">B67/100*'Feed Ingredients'!G6</f>
        <v>0.028</v>
      </c>
    </row>
    <row r="68" customFormat="false" ht="15" hidden="false" customHeight="true" outlineLevel="0" collapsed="false">
      <c r="A68" s="41" t="s">
        <v>14</v>
      </c>
      <c r="B68" s="65" t="n">
        <v>10</v>
      </c>
      <c r="C68" s="66" t="n">
        <f aca="false">'Feed Ingredients'!C7</f>
        <v>13.2</v>
      </c>
      <c r="D68" s="66" t="n">
        <f aca="false">'Feed Ingredients'!D7</f>
        <v>12.5</v>
      </c>
      <c r="E68" s="67" t="n">
        <f aca="false">'Feed Ingredients'!H7</f>
        <v>4</v>
      </c>
      <c r="F68" s="67" t="n">
        <f aca="false">B68/100*C68</f>
        <v>1.32</v>
      </c>
      <c r="G68" s="67" t="n">
        <f aca="false">B68/100*D68</f>
        <v>1.25</v>
      </c>
      <c r="H68" s="67" t="n">
        <f aca="false">B68/100*E68</f>
        <v>0.4</v>
      </c>
      <c r="I68" s="68" t="n">
        <f aca="false">B68/100*'Feed Ingredients'!F7</f>
        <v>0.005</v>
      </c>
      <c r="J68" s="68" t="n">
        <f aca="false">B68/100*'Feed Ingredients'!G7</f>
        <v>0.04</v>
      </c>
    </row>
    <row r="69" customFormat="false" ht="15" hidden="false" customHeight="true" outlineLevel="0" collapsed="false">
      <c r="A69" s="97" t="s">
        <v>15</v>
      </c>
      <c r="B69" s="98" t="n">
        <v>18</v>
      </c>
      <c r="C69" s="99" t="n">
        <f aca="false">'Feed Ingredients'!C8</f>
        <v>12</v>
      </c>
      <c r="D69" s="99" t="n">
        <f aca="false">'Feed Ingredients'!D8</f>
        <v>32</v>
      </c>
      <c r="E69" s="100" t="n">
        <f aca="false">'Feed Ingredients'!H8</f>
        <v>5.5</v>
      </c>
      <c r="F69" s="100" t="n">
        <f aca="false">B69/100*C69</f>
        <v>2.16</v>
      </c>
      <c r="G69" s="100" t="n">
        <f aca="false">B69/100*D69</f>
        <v>5.76</v>
      </c>
      <c r="H69" s="100" t="n">
        <f aca="false">B69/100*E69</f>
        <v>0.99</v>
      </c>
      <c r="I69" s="101" t="n">
        <f aca="false">B69/100*'Feed Ingredients'!F8</f>
        <v>0.045</v>
      </c>
      <c r="J69" s="101" t="n">
        <f aca="false">B69/100*'Feed Ingredients'!G8</f>
        <v>0.072</v>
      </c>
    </row>
    <row r="70" customFormat="false" ht="15" hidden="false" customHeight="true" outlineLevel="0" collapsed="false">
      <c r="A70" s="41" t="s">
        <v>19</v>
      </c>
      <c r="B70" s="65" t="n">
        <v>18</v>
      </c>
      <c r="C70" s="66" t="n">
        <f aca="false">'Feed Ingredients'!C10</f>
        <v>13.8</v>
      </c>
      <c r="D70" s="66" t="n">
        <f aca="false">'Feed Ingredients'!D10</f>
        <v>9</v>
      </c>
      <c r="E70" s="67" t="n">
        <f aca="false">'Feed Ingredients'!H10</f>
        <v>4.8</v>
      </c>
      <c r="F70" s="67" t="n">
        <f aca="false">B70/100*C70</f>
        <v>2.484</v>
      </c>
      <c r="G70" s="67" t="n">
        <f aca="false">B70/100*D70</f>
        <v>1.62</v>
      </c>
      <c r="H70" s="67" t="n">
        <f aca="false">B70/100*E70</f>
        <v>0.864</v>
      </c>
      <c r="I70" s="68" t="n">
        <f aca="false">B70/100*'Feed Ingredients'!F10</f>
        <v>0.0054</v>
      </c>
      <c r="J70" s="68" t="n">
        <f aca="false">B70/100*'Feed Ingredients'!G10</f>
        <v>0.0504</v>
      </c>
    </row>
    <row r="71" customFormat="false" ht="15" hidden="false" customHeight="true" outlineLevel="0" collapsed="false">
      <c r="A71" s="97" t="s">
        <v>17</v>
      </c>
      <c r="B71" s="98" t="n">
        <v>0</v>
      </c>
      <c r="C71" s="99" t="n">
        <f aca="false">'Feed Ingredients'!C9</f>
        <v>8.5</v>
      </c>
      <c r="D71" s="99" t="n">
        <f aca="false">'Feed Ingredients'!D9</f>
        <v>18</v>
      </c>
      <c r="E71" s="100" t="n">
        <f aca="false">'Feed Ingredients'!H9</f>
        <v>2.8</v>
      </c>
      <c r="F71" s="100" t="n">
        <f aca="false">B71/100*C71</f>
        <v>0</v>
      </c>
      <c r="G71" s="100" t="n">
        <f aca="false">B71/100*D71</f>
        <v>0</v>
      </c>
      <c r="H71" s="100" t="n">
        <f aca="false">B71/100*E71</f>
        <v>0</v>
      </c>
      <c r="I71" s="101" t="n">
        <f aca="false">B71/100*'Feed Ingredients'!F9</f>
        <v>0</v>
      </c>
      <c r="J71" s="101" t="n">
        <f aca="false">B71/100*'Feed Ingredients'!G9</f>
        <v>0</v>
      </c>
    </row>
    <row r="72" customFormat="false" ht="15" hidden="false" customHeight="true" outlineLevel="0" collapsed="false">
      <c r="A72" s="41" t="s">
        <v>23</v>
      </c>
      <c r="B72" s="65" t="n">
        <v>20</v>
      </c>
      <c r="C72" s="66" t="n">
        <f aca="false">'Feed Ingredients'!C13</f>
        <v>11.5</v>
      </c>
      <c r="D72" s="66" t="n">
        <f aca="false">'Feed Ingredients'!D13</f>
        <v>41</v>
      </c>
      <c r="E72" s="67" t="n">
        <f aca="false">'Feed Ingredients'!H13</f>
        <v>6.5</v>
      </c>
      <c r="F72" s="67" t="n">
        <f aca="false">B72/100*C72</f>
        <v>2.3</v>
      </c>
      <c r="G72" s="67" t="n">
        <f aca="false">B72/100*D72</f>
        <v>8.2</v>
      </c>
      <c r="H72" s="67" t="n">
        <f aca="false">B72/100*E72</f>
        <v>1.3</v>
      </c>
      <c r="I72" s="68" t="n">
        <f aca="false">B72/100*'Feed Ingredients'!F13</f>
        <v>0.04</v>
      </c>
      <c r="J72" s="68" t="n">
        <f aca="false">B72/100*'Feed Ingredients'!G13</f>
        <v>0.22</v>
      </c>
    </row>
    <row r="73" customFormat="false" ht="15" hidden="false" customHeight="true" outlineLevel="0" collapsed="false">
      <c r="A73" s="97" t="s">
        <v>22</v>
      </c>
      <c r="B73" s="98" t="n">
        <v>3</v>
      </c>
      <c r="C73" s="99" t="n">
        <f aca="false">'Feed Ingredients'!C12</f>
        <v>10.5</v>
      </c>
      <c r="D73" s="99" t="n">
        <f aca="false">'Feed Ingredients'!D12</f>
        <v>5</v>
      </c>
      <c r="E73" s="100" t="n">
        <f aca="false">'Feed Ingredients'!H12</f>
        <v>2.5</v>
      </c>
      <c r="F73" s="100" t="n">
        <f aca="false">B73/100*C73</f>
        <v>0.315</v>
      </c>
      <c r="G73" s="100" t="n">
        <f aca="false">B73/100*D73</f>
        <v>0.15</v>
      </c>
      <c r="H73" s="100" t="n">
        <f aca="false">B73/100*E73</f>
        <v>0.075</v>
      </c>
      <c r="I73" s="101" t="n">
        <f aca="false">B73/100*'Feed Ingredients'!F12</f>
        <v>0.027</v>
      </c>
      <c r="J73" s="101" t="n">
        <f aca="false">B73/100*'Feed Ingredients'!G12</f>
        <v>0.003</v>
      </c>
    </row>
    <row r="74" customFormat="false" ht="15" hidden="false" customHeight="true" outlineLevel="0" collapsed="false">
      <c r="A74" s="41" t="s">
        <v>25</v>
      </c>
      <c r="B74" s="65" t="n">
        <v>15</v>
      </c>
      <c r="C74" s="66" t="n">
        <f aca="false">'Feed Ingredients'!C14</f>
        <v>10</v>
      </c>
      <c r="D74" s="66" t="n">
        <f aca="false">'Feed Ingredients'!D14</f>
        <v>34</v>
      </c>
      <c r="E74" s="67" t="n">
        <f aca="false">'Feed Ingredients'!H14</f>
        <v>5.8</v>
      </c>
      <c r="F74" s="67" t="n">
        <f aca="false">B74/100*C74</f>
        <v>1.5</v>
      </c>
      <c r="G74" s="67" t="n">
        <f aca="false">B74/100*D74</f>
        <v>5.1</v>
      </c>
      <c r="H74" s="67" t="n">
        <f aca="false">B74/100*E74</f>
        <v>0.87</v>
      </c>
      <c r="I74" s="68" t="n">
        <f aca="false">B74/100*'Feed Ingredients'!F14</f>
        <v>0.0525</v>
      </c>
      <c r="J74" s="68" t="n">
        <f aca="false">B74/100*'Feed Ingredients'!G14</f>
        <v>0.15</v>
      </c>
    </row>
    <row r="75" customFormat="false" ht="15" hidden="false" customHeight="true" outlineLevel="0" collapsed="false">
      <c r="A75" s="97" t="s">
        <v>30</v>
      </c>
      <c r="B75" s="98" t="n">
        <v>1</v>
      </c>
      <c r="C75" s="99" t="n">
        <f aca="false">'Feed Ingredients'!C18</f>
        <v>0</v>
      </c>
      <c r="D75" s="99" t="n">
        <f aca="false">'Feed Ingredients'!D18</f>
        <v>0</v>
      </c>
      <c r="E75" s="100" t="n">
        <f aca="false">'Feed Ingredients'!H18</f>
        <v>1.2</v>
      </c>
      <c r="F75" s="100" t="n">
        <f aca="false">B75/100*C75</f>
        <v>0</v>
      </c>
      <c r="G75" s="100" t="n">
        <f aca="false">B75/100*D75</f>
        <v>0</v>
      </c>
      <c r="H75" s="100" t="n">
        <f aca="false">B75/100*E75</f>
        <v>0.012</v>
      </c>
      <c r="I75" s="101" t="n">
        <f aca="false">B75/100*'Feed Ingredients'!F18</f>
        <v>0</v>
      </c>
      <c r="J75" s="101" t="n">
        <f aca="false">B75/100*'Feed Ingredients'!G18</f>
        <v>0</v>
      </c>
    </row>
    <row r="76" customFormat="false" ht="15" hidden="false" customHeight="true" outlineLevel="0" collapsed="false">
      <c r="A76" s="41" t="s">
        <v>32</v>
      </c>
      <c r="B76" s="65" t="n">
        <v>1.5</v>
      </c>
      <c r="C76" s="66" t="n">
        <f aca="false">'Feed Ingredients'!C19</f>
        <v>0</v>
      </c>
      <c r="D76" s="66" t="n">
        <f aca="false">'Feed Ingredients'!D19</f>
        <v>0</v>
      </c>
      <c r="E76" s="67" t="n">
        <f aca="false">'Feed Ingredients'!H19</f>
        <v>0.8</v>
      </c>
      <c r="F76" s="67" t="n">
        <f aca="false">B76/100*C76</f>
        <v>0</v>
      </c>
      <c r="G76" s="67" t="n">
        <f aca="false">B76/100*D76</f>
        <v>0</v>
      </c>
      <c r="H76" s="67" t="n">
        <f aca="false">B76/100*E76</f>
        <v>0.012</v>
      </c>
      <c r="I76" s="68" t="n">
        <f aca="false">B76/100*'Feed Ingredients'!F19</f>
        <v>0.57</v>
      </c>
      <c r="J76" s="68" t="n">
        <f aca="false">B76/100*'Feed Ingredients'!G19</f>
        <v>0</v>
      </c>
    </row>
    <row r="77" customFormat="false" ht="15" hidden="false" customHeight="true" outlineLevel="0" collapsed="false">
      <c r="A77" s="97" t="s">
        <v>33</v>
      </c>
      <c r="B77" s="98" t="n">
        <v>1.5</v>
      </c>
      <c r="C77" s="99" t="n">
        <f aca="false">'Feed Ingredients'!C20</f>
        <v>0</v>
      </c>
      <c r="D77" s="99" t="n">
        <f aca="false">'Feed Ingredients'!D20</f>
        <v>0</v>
      </c>
      <c r="E77" s="100" t="n">
        <f aca="false">'Feed Ingredients'!H20</f>
        <v>12</v>
      </c>
      <c r="F77" s="100" t="n">
        <f aca="false">B77/100*C77</f>
        <v>0</v>
      </c>
      <c r="G77" s="100" t="n">
        <f aca="false">B77/100*D77</f>
        <v>0</v>
      </c>
      <c r="H77" s="100" t="n">
        <f aca="false">B77/100*E77</f>
        <v>0.18</v>
      </c>
      <c r="I77" s="101" t="n">
        <f aca="false">B77/100*'Feed Ingredients'!F20</f>
        <v>0.24</v>
      </c>
      <c r="J77" s="101" t="n">
        <f aca="false">B77/100*'Feed Ingredients'!G20</f>
        <v>0.315</v>
      </c>
    </row>
    <row r="78" customFormat="false" ht="15" hidden="false" customHeight="true" outlineLevel="0" collapsed="false">
      <c r="A78" s="41" t="s">
        <v>34</v>
      </c>
      <c r="B78" s="65" t="n">
        <v>1</v>
      </c>
      <c r="C78" s="66" t="n">
        <f aca="false">'Feed Ingredients'!C21</f>
        <v>0</v>
      </c>
      <c r="D78" s="66" t="n">
        <f aca="false">'Feed Ingredients'!D21</f>
        <v>0</v>
      </c>
      <c r="E78" s="67" t="n">
        <f aca="false">'Feed Ingredients'!H21</f>
        <v>35</v>
      </c>
      <c r="F78" s="67" t="n">
        <f aca="false">B78/100*C78</f>
        <v>0</v>
      </c>
      <c r="G78" s="67" t="n">
        <f aca="false">B78/100*D78</f>
        <v>0</v>
      </c>
      <c r="H78" s="67" t="n">
        <f aca="false">B78/100*E78</f>
        <v>0.35</v>
      </c>
      <c r="I78" s="68" t="n">
        <f aca="false">B78/100*'Feed Ingredients'!F21</f>
        <v>0</v>
      </c>
      <c r="J78" s="68" t="n">
        <f aca="false">B78/100*'Feed Ingredients'!G21</f>
        <v>0</v>
      </c>
    </row>
    <row r="79" customFormat="false" ht="15" hidden="false" customHeight="true" outlineLevel="0" collapsed="false">
      <c r="A79" s="102" t="s">
        <v>229</v>
      </c>
      <c r="B79" s="70" t="n">
        <f aca="false">SUM(B67:B78)</f>
        <v>97</v>
      </c>
      <c r="C79" s="71"/>
      <c r="D79" s="71"/>
      <c r="E79" s="71"/>
      <c r="F79" s="72" t="n">
        <f aca="false">SUM(F67:F78)</f>
        <v>11.103</v>
      </c>
      <c r="G79" s="70" t="n">
        <f aca="false">SUM(G67:G78)</f>
        <v>23</v>
      </c>
      <c r="H79" s="73" t="n">
        <f aca="false">SUM(H67:H78)</f>
        <v>5.309</v>
      </c>
      <c r="I79" s="74" t="n">
        <f aca="false">SUM(I67:I78)</f>
        <v>0.9889</v>
      </c>
      <c r="J79" s="74" t="n">
        <f aca="false">SUM(J67:J78)</f>
        <v>0.8784</v>
      </c>
    </row>
    <row r="80" customFormat="false" ht="15" hidden="false" customHeight="true" outlineLevel="0" collapsed="false">
      <c r="A80" s="13" t="s">
        <v>230</v>
      </c>
      <c r="B80" s="66" t="n">
        <f aca="false">F79</f>
        <v>11.103</v>
      </c>
      <c r="C80" s="13" t="s">
        <v>231</v>
      </c>
      <c r="D80" s="66" t="n">
        <f aca="false">G79</f>
        <v>23</v>
      </c>
      <c r="E80" s="13" t="s">
        <v>232</v>
      </c>
      <c r="F80" s="67" t="n">
        <f aca="false">H79</f>
        <v>5.309</v>
      </c>
      <c r="G80" s="13" t="s">
        <v>233</v>
      </c>
      <c r="H80" s="66" t="n">
        <f aca="false">IF(J79=0,"N/A",I79/J79)</f>
        <v>1.12579690346084</v>
      </c>
    </row>
    <row r="81" customFormat="false" ht="15" hidden="false" customHeight="true" outlineLevel="0" collapsed="false">
      <c r="A81" s="13" t="s">
        <v>234</v>
      </c>
      <c r="B81" s="56" t="n">
        <f aca="false">H79*E65/1000</f>
        <v>4.2472</v>
      </c>
      <c r="C81" s="13" t="s">
        <v>235</v>
      </c>
      <c r="D81" s="56" t="n">
        <f aca="false">B81*G65</f>
        <v>1061.8</v>
      </c>
      <c r="E81" s="13" t="s">
        <v>236</v>
      </c>
      <c r="F81" s="75" t="n">
        <f aca="false">D81*30</f>
        <v>31854</v>
      </c>
    </row>
    <row r="82" customFormat="false" ht="15" hidden="false" customHeight="true" outlineLevel="0" collapsed="false">
      <c r="A82" s="13" t="s">
        <v>237</v>
      </c>
      <c r="B82" s="66" t="n">
        <f aca="false">F79*E65/1000</f>
        <v>8.8824</v>
      </c>
      <c r="C82" s="13" t="s">
        <v>238</v>
      </c>
      <c r="D82" s="76" t="n">
        <f aca="false">G79*E65/100</f>
        <v>184</v>
      </c>
    </row>
    <row r="84" customFormat="false" ht="15" hidden="false" customHeight="true" outlineLevel="0" collapsed="false">
      <c r="A84" s="26" t="s">
        <v>245</v>
      </c>
      <c r="B84" s="26"/>
      <c r="C84" s="26"/>
      <c r="D84" s="26"/>
      <c r="E84" s="26"/>
      <c r="F84" s="26"/>
      <c r="G84" s="26"/>
      <c r="H84" s="26"/>
      <c r="I84" s="26"/>
      <c r="J84" s="26"/>
      <c r="K84" s="26"/>
    </row>
    <row r="85" customFormat="false" ht="15" hidden="false" customHeight="true" outlineLevel="0" collapsed="false">
      <c r="A85" s="103" t="s">
        <v>246</v>
      </c>
      <c r="C85" s="13" t="s">
        <v>218</v>
      </c>
      <c r="E85" s="14" t="n">
        <v>300</v>
      </c>
      <c r="F85" s="13" t="s">
        <v>219</v>
      </c>
      <c r="G85" s="46" t="n">
        <f aca="false">'Flock Calculator'!$B$10</f>
        <v>0</v>
      </c>
    </row>
    <row r="86" customFormat="false" ht="15" hidden="false" customHeight="true" outlineLevel="0" collapsed="false">
      <c r="A86" s="27" t="s">
        <v>2</v>
      </c>
      <c r="B86" s="27" t="s">
        <v>220</v>
      </c>
      <c r="C86" s="27" t="s">
        <v>221</v>
      </c>
      <c r="D86" s="27" t="s">
        <v>222</v>
      </c>
      <c r="E86" s="27" t="s">
        <v>223</v>
      </c>
      <c r="F86" s="27" t="s">
        <v>224</v>
      </c>
      <c r="G86" s="27" t="s">
        <v>225</v>
      </c>
      <c r="H86" s="27" t="s">
        <v>226</v>
      </c>
      <c r="I86" s="27" t="s">
        <v>227</v>
      </c>
      <c r="J86" s="27" t="s">
        <v>228</v>
      </c>
    </row>
    <row r="87" customFormat="false" ht="15" hidden="false" customHeight="true" outlineLevel="0" collapsed="false">
      <c r="A87" s="104" t="s">
        <v>13</v>
      </c>
      <c r="B87" s="105" t="n">
        <v>22</v>
      </c>
      <c r="C87" s="106" t="n">
        <f aca="false">'Feed Ingredients'!C6</f>
        <v>12.8</v>
      </c>
      <c r="D87" s="106" t="n">
        <f aca="false">'Feed Ingredients'!D6</f>
        <v>11.5</v>
      </c>
      <c r="E87" s="107" t="n">
        <f aca="false">'Feed Ingredients'!H6</f>
        <v>3.2</v>
      </c>
      <c r="F87" s="107" t="n">
        <f aca="false">B87/100*C87</f>
        <v>2.816</v>
      </c>
      <c r="G87" s="107" t="n">
        <f aca="false">B87/100*D87</f>
        <v>2.53</v>
      </c>
      <c r="H87" s="107" t="n">
        <f aca="false">B87/100*E87</f>
        <v>0.704</v>
      </c>
      <c r="I87" s="108" t="n">
        <f aca="false">B87/100*'Feed Ingredients'!F6</f>
        <v>0.011</v>
      </c>
      <c r="J87" s="108" t="n">
        <f aca="false">B87/100*'Feed Ingredients'!G6</f>
        <v>0.077</v>
      </c>
    </row>
    <row r="88" customFormat="false" ht="15" hidden="false" customHeight="true" outlineLevel="0" collapsed="false">
      <c r="A88" s="41" t="s">
        <v>14</v>
      </c>
      <c r="B88" s="65" t="n">
        <v>8</v>
      </c>
      <c r="C88" s="66" t="n">
        <f aca="false">'Feed Ingredients'!C7</f>
        <v>13.2</v>
      </c>
      <c r="D88" s="66" t="n">
        <f aca="false">'Feed Ingredients'!D7</f>
        <v>12.5</v>
      </c>
      <c r="E88" s="67" t="n">
        <f aca="false">'Feed Ingredients'!H7</f>
        <v>4</v>
      </c>
      <c r="F88" s="67" t="n">
        <f aca="false">B88/100*C88</f>
        <v>1.056</v>
      </c>
      <c r="G88" s="67" t="n">
        <f aca="false">B88/100*D88</f>
        <v>1</v>
      </c>
      <c r="H88" s="67" t="n">
        <f aca="false">B88/100*E88</f>
        <v>0.32</v>
      </c>
      <c r="I88" s="68" t="n">
        <f aca="false">B88/100*'Feed Ingredients'!F7</f>
        <v>0.004</v>
      </c>
      <c r="J88" s="68" t="n">
        <f aca="false">B88/100*'Feed Ingredients'!G7</f>
        <v>0.032</v>
      </c>
    </row>
    <row r="89" customFormat="false" ht="15" hidden="false" customHeight="true" outlineLevel="0" collapsed="false">
      <c r="A89" s="104" t="s">
        <v>15</v>
      </c>
      <c r="B89" s="105" t="n">
        <v>25</v>
      </c>
      <c r="C89" s="106" t="n">
        <f aca="false">'Feed Ingredients'!C8</f>
        <v>12</v>
      </c>
      <c r="D89" s="106" t="n">
        <f aca="false">'Feed Ingredients'!D8</f>
        <v>32</v>
      </c>
      <c r="E89" s="107" t="n">
        <f aca="false">'Feed Ingredients'!H8</f>
        <v>5.5</v>
      </c>
      <c r="F89" s="107" t="n">
        <f aca="false">B89/100*C89</f>
        <v>3</v>
      </c>
      <c r="G89" s="107" t="n">
        <f aca="false">B89/100*D89</f>
        <v>8</v>
      </c>
      <c r="H89" s="107" t="n">
        <f aca="false">B89/100*E89</f>
        <v>1.375</v>
      </c>
      <c r="I89" s="108" t="n">
        <f aca="false">B89/100*'Feed Ingredients'!F8</f>
        <v>0.0625</v>
      </c>
      <c r="J89" s="108" t="n">
        <f aca="false">B89/100*'Feed Ingredients'!G8</f>
        <v>0.1</v>
      </c>
    </row>
    <row r="90" customFormat="false" ht="15" hidden="false" customHeight="true" outlineLevel="0" collapsed="false">
      <c r="A90" s="41" t="s">
        <v>19</v>
      </c>
      <c r="B90" s="65" t="n">
        <v>12</v>
      </c>
      <c r="C90" s="66" t="n">
        <f aca="false">'Feed Ingredients'!C10</f>
        <v>13.8</v>
      </c>
      <c r="D90" s="66" t="n">
        <f aca="false">'Feed Ingredients'!D10</f>
        <v>9</v>
      </c>
      <c r="E90" s="67" t="n">
        <f aca="false">'Feed Ingredients'!H10</f>
        <v>4.8</v>
      </c>
      <c r="F90" s="67" t="n">
        <f aca="false">B90/100*C90</f>
        <v>1.656</v>
      </c>
      <c r="G90" s="67" t="n">
        <f aca="false">B90/100*D90</f>
        <v>1.08</v>
      </c>
      <c r="H90" s="67" t="n">
        <f aca="false">B90/100*E90</f>
        <v>0.576</v>
      </c>
      <c r="I90" s="68" t="n">
        <f aca="false">B90/100*'Feed Ingredients'!F10</f>
        <v>0.0036</v>
      </c>
      <c r="J90" s="68" t="n">
        <f aca="false">B90/100*'Feed Ingredients'!G10</f>
        <v>0.0336</v>
      </c>
    </row>
    <row r="91" customFormat="false" ht="15" hidden="false" customHeight="true" outlineLevel="0" collapsed="false">
      <c r="A91" s="104" t="s">
        <v>17</v>
      </c>
      <c r="B91" s="105" t="n">
        <v>12</v>
      </c>
      <c r="C91" s="106" t="n">
        <f aca="false">'Feed Ingredients'!C9</f>
        <v>8.5</v>
      </c>
      <c r="D91" s="106" t="n">
        <f aca="false">'Feed Ingredients'!D9</f>
        <v>18</v>
      </c>
      <c r="E91" s="107" t="n">
        <f aca="false">'Feed Ingredients'!H9</f>
        <v>2.8</v>
      </c>
      <c r="F91" s="107" t="n">
        <f aca="false">B91/100*C91</f>
        <v>1.02</v>
      </c>
      <c r="G91" s="107" t="n">
        <f aca="false">B91/100*D91</f>
        <v>2.16</v>
      </c>
      <c r="H91" s="107" t="n">
        <f aca="false">B91/100*E91</f>
        <v>0.336</v>
      </c>
      <c r="I91" s="108" t="n">
        <f aca="false">B91/100*'Feed Ingredients'!F9</f>
        <v>0.168</v>
      </c>
      <c r="J91" s="108" t="n">
        <f aca="false">B91/100*'Feed Ingredients'!G9</f>
        <v>0.03</v>
      </c>
    </row>
    <row r="92" customFormat="false" ht="15" hidden="false" customHeight="true" outlineLevel="0" collapsed="false">
      <c r="A92" s="41" t="s">
        <v>23</v>
      </c>
      <c r="B92" s="65" t="n">
        <v>10</v>
      </c>
      <c r="C92" s="66" t="n">
        <f aca="false">'Feed Ingredients'!C13</f>
        <v>11.5</v>
      </c>
      <c r="D92" s="66" t="n">
        <f aca="false">'Feed Ingredients'!D13</f>
        <v>41</v>
      </c>
      <c r="E92" s="67" t="n">
        <f aca="false">'Feed Ingredients'!H13</f>
        <v>6.5</v>
      </c>
      <c r="F92" s="67" t="n">
        <f aca="false">B92/100*C92</f>
        <v>1.15</v>
      </c>
      <c r="G92" s="67" t="n">
        <f aca="false">B92/100*D92</f>
        <v>4.1</v>
      </c>
      <c r="H92" s="67" t="n">
        <f aca="false">B92/100*E92</f>
        <v>0.65</v>
      </c>
      <c r="I92" s="68" t="n">
        <f aca="false">B92/100*'Feed Ingredients'!F13</f>
        <v>0.02</v>
      </c>
      <c r="J92" s="68" t="n">
        <f aca="false">B92/100*'Feed Ingredients'!G13</f>
        <v>0.11</v>
      </c>
    </row>
    <row r="93" customFormat="false" ht="15" hidden="false" customHeight="true" outlineLevel="0" collapsed="false">
      <c r="A93" s="104" t="s">
        <v>22</v>
      </c>
      <c r="B93" s="105" t="n">
        <v>5</v>
      </c>
      <c r="C93" s="106" t="n">
        <f aca="false">'Feed Ingredients'!C12</f>
        <v>10.5</v>
      </c>
      <c r="D93" s="106" t="n">
        <f aca="false">'Feed Ingredients'!D12</f>
        <v>5</v>
      </c>
      <c r="E93" s="107" t="n">
        <f aca="false">'Feed Ingredients'!H12</f>
        <v>2.5</v>
      </c>
      <c r="F93" s="107" t="n">
        <f aca="false">B93/100*C93</f>
        <v>0.525</v>
      </c>
      <c r="G93" s="107" t="n">
        <f aca="false">B93/100*D93</f>
        <v>0.25</v>
      </c>
      <c r="H93" s="107" t="n">
        <f aca="false">B93/100*E93</f>
        <v>0.125</v>
      </c>
      <c r="I93" s="108" t="n">
        <f aca="false">B93/100*'Feed Ingredients'!F12</f>
        <v>0.045</v>
      </c>
      <c r="J93" s="108" t="n">
        <f aca="false">B93/100*'Feed Ingredients'!G12</f>
        <v>0.005</v>
      </c>
    </row>
    <row r="94" customFormat="false" ht="15" hidden="false" customHeight="true" outlineLevel="0" collapsed="false">
      <c r="A94" s="41" t="s">
        <v>25</v>
      </c>
      <c r="B94" s="65" t="n">
        <v>2</v>
      </c>
      <c r="C94" s="66" t="n">
        <f aca="false">'Feed Ingredients'!C14</f>
        <v>10</v>
      </c>
      <c r="D94" s="66" t="n">
        <f aca="false">'Feed Ingredients'!D14</f>
        <v>34</v>
      </c>
      <c r="E94" s="67" t="n">
        <f aca="false">'Feed Ingredients'!H14</f>
        <v>5.8</v>
      </c>
      <c r="F94" s="67" t="n">
        <f aca="false">B94/100*C94</f>
        <v>0.2</v>
      </c>
      <c r="G94" s="67" t="n">
        <f aca="false">B94/100*D94</f>
        <v>0.68</v>
      </c>
      <c r="H94" s="67" t="n">
        <f aca="false">B94/100*E94</f>
        <v>0.116</v>
      </c>
      <c r="I94" s="68" t="n">
        <f aca="false">B94/100*'Feed Ingredients'!F14</f>
        <v>0.007</v>
      </c>
      <c r="J94" s="68" t="n">
        <f aca="false">B94/100*'Feed Ingredients'!G14</f>
        <v>0.02</v>
      </c>
    </row>
    <row r="95" customFormat="false" ht="15" hidden="false" customHeight="true" outlineLevel="0" collapsed="false">
      <c r="A95" s="104" t="s">
        <v>30</v>
      </c>
      <c r="B95" s="105" t="n">
        <v>1</v>
      </c>
      <c r="C95" s="106" t="n">
        <f aca="false">'Feed Ingredients'!C18</f>
        <v>0</v>
      </c>
      <c r="D95" s="106" t="n">
        <f aca="false">'Feed Ingredients'!D18</f>
        <v>0</v>
      </c>
      <c r="E95" s="107" t="n">
        <f aca="false">'Feed Ingredients'!H18</f>
        <v>1.2</v>
      </c>
      <c r="F95" s="107" t="n">
        <f aca="false">B95/100*C95</f>
        <v>0</v>
      </c>
      <c r="G95" s="107" t="n">
        <f aca="false">B95/100*D95</f>
        <v>0</v>
      </c>
      <c r="H95" s="107" t="n">
        <f aca="false">B95/100*E95</f>
        <v>0.012</v>
      </c>
      <c r="I95" s="108" t="n">
        <f aca="false">B95/100*'Feed Ingredients'!F18</f>
        <v>0</v>
      </c>
      <c r="J95" s="108" t="n">
        <f aca="false">B95/100*'Feed Ingredients'!G18</f>
        <v>0</v>
      </c>
    </row>
    <row r="96" customFormat="false" ht="15" hidden="false" customHeight="true" outlineLevel="0" collapsed="false">
      <c r="A96" s="41" t="s">
        <v>32</v>
      </c>
      <c r="B96" s="65" t="n">
        <v>1</v>
      </c>
      <c r="C96" s="66" t="n">
        <f aca="false">'Feed Ingredients'!C19</f>
        <v>0</v>
      </c>
      <c r="D96" s="66" t="n">
        <f aca="false">'Feed Ingredients'!D19</f>
        <v>0</v>
      </c>
      <c r="E96" s="67" t="n">
        <f aca="false">'Feed Ingredients'!H19</f>
        <v>0.8</v>
      </c>
      <c r="F96" s="67" t="n">
        <f aca="false">B96/100*C96</f>
        <v>0</v>
      </c>
      <c r="G96" s="67" t="n">
        <f aca="false">B96/100*D96</f>
        <v>0</v>
      </c>
      <c r="H96" s="67" t="n">
        <f aca="false">B96/100*E96</f>
        <v>0.008</v>
      </c>
      <c r="I96" s="68" t="n">
        <f aca="false">B96/100*'Feed Ingredients'!F19</f>
        <v>0.38</v>
      </c>
      <c r="J96" s="68" t="n">
        <f aca="false">B96/100*'Feed Ingredients'!G19</f>
        <v>0</v>
      </c>
    </row>
    <row r="97" customFormat="false" ht="15" hidden="false" customHeight="true" outlineLevel="0" collapsed="false">
      <c r="A97" s="104" t="s">
        <v>33</v>
      </c>
      <c r="B97" s="105" t="n">
        <v>1</v>
      </c>
      <c r="C97" s="106" t="n">
        <f aca="false">'Feed Ingredients'!C20</f>
        <v>0</v>
      </c>
      <c r="D97" s="106" t="n">
        <f aca="false">'Feed Ingredients'!D20</f>
        <v>0</v>
      </c>
      <c r="E97" s="107" t="n">
        <f aca="false">'Feed Ingredients'!H20</f>
        <v>12</v>
      </c>
      <c r="F97" s="107" t="n">
        <f aca="false">B97/100*C97</f>
        <v>0</v>
      </c>
      <c r="G97" s="107" t="n">
        <f aca="false">B97/100*D97</f>
        <v>0</v>
      </c>
      <c r="H97" s="107" t="n">
        <f aca="false">B97/100*E97</f>
        <v>0.12</v>
      </c>
      <c r="I97" s="108" t="n">
        <f aca="false">B97/100*'Feed Ingredients'!F20</f>
        <v>0.16</v>
      </c>
      <c r="J97" s="108" t="n">
        <f aca="false">B97/100*'Feed Ingredients'!G20</f>
        <v>0.21</v>
      </c>
    </row>
    <row r="98" customFormat="false" ht="15" hidden="false" customHeight="true" outlineLevel="0" collapsed="false">
      <c r="A98" s="41" t="s">
        <v>34</v>
      </c>
      <c r="B98" s="65" t="n">
        <v>1</v>
      </c>
      <c r="C98" s="66" t="n">
        <f aca="false">'Feed Ingredients'!C21</f>
        <v>0</v>
      </c>
      <c r="D98" s="66" t="n">
        <f aca="false">'Feed Ingredients'!D21</f>
        <v>0</v>
      </c>
      <c r="E98" s="67" t="n">
        <f aca="false">'Feed Ingredients'!H21</f>
        <v>35</v>
      </c>
      <c r="F98" s="67" t="n">
        <f aca="false">B98/100*C98</f>
        <v>0</v>
      </c>
      <c r="G98" s="67" t="n">
        <f aca="false">B98/100*D98</f>
        <v>0</v>
      </c>
      <c r="H98" s="67" t="n">
        <f aca="false">B98/100*E98</f>
        <v>0.35</v>
      </c>
      <c r="I98" s="68" t="n">
        <f aca="false">B98/100*'Feed Ingredients'!F21</f>
        <v>0</v>
      </c>
      <c r="J98" s="68" t="n">
        <f aca="false">B98/100*'Feed Ingredients'!G21</f>
        <v>0</v>
      </c>
    </row>
    <row r="99" customFormat="false" ht="15" hidden="false" customHeight="true" outlineLevel="0" collapsed="false">
      <c r="A99" s="109" t="s">
        <v>229</v>
      </c>
      <c r="B99" s="70" t="n">
        <f aca="false">SUM(B87:B98)</f>
        <v>100</v>
      </c>
      <c r="C99" s="71"/>
      <c r="D99" s="71"/>
      <c r="E99" s="71"/>
      <c r="F99" s="72" t="n">
        <f aca="false">SUM(F87:F98)</f>
        <v>11.423</v>
      </c>
      <c r="G99" s="70" t="n">
        <f aca="false">SUM(G87:G98)</f>
        <v>19.8</v>
      </c>
      <c r="H99" s="73" t="n">
        <f aca="false">SUM(H87:H98)</f>
        <v>4.692</v>
      </c>
      <c r="I99" s="74" t="n">
        <f aca="false">SUM(I87:I98)</f>
        <v>0.8611</v>
      </c>
      <c r="J99" s="74" t="n">
        <f aca="false">SUM(J87:J98)</f>
        <v>0.6176</v>
      </c>
    </row>
    <row r="100" customFormat="false" ht="15" hidden="false" customHeight="true" outlineLevel="0" collapsed="false">
      <c r="A100" s="13" t="s">
        <v>230</v>
      </c>
      <c r="B100" s="66" t="n">
        <f aca="false">F99</f>
        <v>11.423</v>
      </c>
      <c r="C100" s="13" t="s">
        <v>231</v>
      </c>
      <c r="D100" s="66" t="n">
        <f aca="false">G99</f>
        <v>19.8</v>
      </c>
      <c r="E100" s="13" t="s">
        <v>232</v>
      </c>
      <c r="F100" s="67" t="n">
        <f aca="false">H99</f>
        <v>4.692</v>
      </c>
      <c r="G100" s="13" t="s">
        <v>233</v>
      </c>
      <c r="H100" s="66" t="n">
        <f aca="false">IF(J99=0,"N/A",I99/J99)</f>
        <v>1.39426813471503</v>
      </c>
    </row>
    <row r="101" customFormat="false" ht="15" hidden="false" customHeight="true" outlineLevel="0" collapsed="false">
      <c r="A101" s="13" t="s">
        <v>234</v>
      </c>
      <c r="B101" s="56" t="n">
        <f aca="false">H99*E85/1000</f>
        <v>1.4076</v>
      </c>
      <c r="C101" s="13" t="s">
        <v>235</v>
      </c>
      <c r="D101" s="56" t="n">
        <f aca="false">B101*G85</f>
        <v>0</v>
      </c>
      <c r="E101" s="13" t="s">
        <v>236</v>
      </c>
      <c r="F101" s="75" t="n">
        <f aca="false">D101*30</f>
        <v>0</v>
      </c>
    </row>
    <row r="102" customFormat="false" ht="15" hidden="false" customHeight="true" outlineLevel="0" collapsed="false">
      <c r="A102" s="13" t="s">
        <v>237</v>
      </c>
      <c r="B102" s="66" t="n">
        <f aca="false">F99*E85/1000</f>
        <v>3.4269</v>
      </c>
      <c r="C102" s="13" t="s">
        <v>238</v>
      </c>
      <c r="D102" s="76" t="n">
        <f aca="false">G99*E85/100</f>
        <v>59.4</v>
      </c>
    </row>
    <row r="104" customFormat="false" ht="15" hidden="false" customHeight="true" outlineLevel="0" collapsed="false">
      <c r="A104" s="47" t="s">
        <v>247</v>
      </c>
      <c r="B104" s="47"/>
      <c r="C104" s="47"/>
      <c r="D104" s="47"/>
      <c r="E104" s="47"/>
      <c r="F104" s="47"/>
      <c r="G104" s="47"/>
      <c r="H104" s="47"/>
      <c r="I104" s="47"/>
      <c r="J104" s="47"/>
      <c r="K104" s="47"/>
    </row>
    <row r="105" customFormat="false" ht="15" hidden="false" customHeight="true" outlineLevel="0" collapsed="false">
      <c r="A105" s="110" t="s">
        <v>248</v>
      </c>
      <c r="C105" s="13" t="s">
        <v>218</v>
      </c>
      <c r="E105" s="14" t="n">
        <v>500</v>
      </c>
      <c r="F105" s="13" t="s">
        <v>219</v>
      </c>
      <c r="G105" s="46" t="n">
        <f aca="false">'Flock Calculator'!$B$6+'Flock Calculator'!$B$7+'Flock Calculator'!$B$8</f>
        <v>730</v>
      </c>
    </row>
    <row r="106" customFormat="false" ht="15" hidden="false" customHeight="true" outlineLevel="0" collapsed="false">
      <c r="A106" s="48" t="s">
        <v>2</v>
      </c>
      <c r="B106" s="48" t="s">
        <v>220</v>
      </c>
      <c r="C106" s="48" t="s">
        <v>221</v>
      </c>
      <c r="D106" s="48" t="s">
        <v>222</v>
      </c>
      <c r="E106" s="48" t="s">
        <v>223</v>
      </c>
      <c r="F106" s="48" t="s">
        <v>224</v>
      </c>
      <c r="G106" s="48" t="s">
        <v>225</v>
      </c>
      <c r="H106" s="48" t="s">
        <v>226</v>
      </c>
      <c r="I106" s="48" t="s">
        <v>227</v>
      </c>
      <c r="J106" s="48" t="s">
        <v>228</v>
      </c>
    </row>
    <row r="107" customFormat="false" ht="15" hidden="false" customHeight="true" outlineLevel="0" collapsed="false">
      <c r="A107" s="50" t="s">
        <v>13</v>
      </c>
      <c r="B107" s="111" t="n">
        <v>22</v>
      </c>
      <c r="C107" s="112" t="n">
        <f aca="false">'Feed Ingredients'!C6</f>
        <v>12.8</v>
      </c>
      <c r="D107" s="112" t="n">
        <f aca="false">'Feed Ingredients'!D6</f>
        <v>11.5</v>
      </c>
      <c r="E107" s="113" t="n">
        <f aca="false">'Feed Ingredients'!H6</f>
        <v>3.2</v>
      </c>
      <c r="F107" s="113" t="n">
        <f aca="false">B107/100*C107</f>
        <v>2.816</v>
      </c>
      <c r="G107" s="113" t="n">
        <f aca="false">B107/100*D107</f>
        <v>2.53</v>
      </c>
      <c r="H107" s="113" t="n">
        <f aca="false">B107/100*E107</f>
        <v>0.704</v>
      </c>
      <c r="I107" s="114" t="n">
        <f aca="false">B107/100*'Feed Ingredients'!F6</f>
        <v>0.011</v>
      </c>
      <c r="J107" s="114" t="n">
        <f aca="false">B107/100*'Feed Ingredients'!G6</f>
        <v>0.077</v>
      </c>
    </row>
    <row r="108" customFormat="false" ht="15" hidden="false" customHeight="true" outlineLevel="0" collapsed="false">
      <c r="A108" s="41" t="s">
        <v>14</v>
      </c>
      <c r="B108" s="65" t="n">
        <v>15</v>
      </c>
      <c r="C108" s="66" t="n">
        <f aca="false">'Feed Ingredients'!C7</f>
        <v>13.2</v>
      </c>
      <c r="D108" s="66" t="n">
        <f aca="false">'Feed Ingredients'!D7</f>
        <v>12.5</v>
      </c>
      <c r="E108" s="67" t="n">
        <f aca="false">'Feed Ingredients'!H7</f>
        <v>4</v>
      </c>
      <c r="F108" s="67" t="n">
        <f aca="false">B108/100*C108</f>
        <v>1.98</v>
      </c>
      <c r="G108" s="67" t="n">
        <f aca="false">B108/100*D108</f>
        <v>1.875</v>
      </c>
      <c r="H108" s="67" t="n">
        <f aca="false">B108/100*E108</f>
        <v>0.6</v>
      </c>
      <c r="I108" s="68" t="n">
        <f aca="false">B108/100*'Feed Ingredients'!F7</f>
        <v>0.0075</v>
      </c>
      <c r="J108" s="68" t="n">
        <f aca="false">B108/100*'Feed Ingredients'!G7</f>
        <v>0.06</v>
      </c>
    </row>
    <row r="109" customFormat="false" ht="15" hidden="false" customHeight="true" outlineLevel="0" collapsed="false">
      <c r="A109" s="50" t="s">
        <v>15</v>
      </c>
      <c r="B109" s="111" t="n">
        <v>22</v>
      </c>
      <c r="C109" s="112" t="n">
        <f aca="false">'Feed Ingredients'!C8</f>
        <v>12</v>
      </c>
      <c r="D109" s="112" t="n">
        <f aca="false">'Feed Ingredients'!D8</f>
        <v>32</v>
      </c>
      <c r="E109" s="113" t="n">
        <f aca="false">'Feed Ingredients'!H8</f>
        <v>5.5</v>
      </c>
      <c r="F109" s="113" t="n">
        <f aca="false">B109/100*C109</f>
        <v>2.64</v>
      </c>
      <c r="G109" s="113" t="n">
        <f aca="false">B109/100*D109</f>
        <v>7.04</v>
      </c>
      <c r="H109" s="113" t="n">
        <f aca="false">B109/100*E109</f>
        <v>1.21</v>
      </c>
      <c r="I109" s="114" t="n">
        <f aca="false">B109/100*'Feed Ingredients'!F8</f>
        <v>0.055</v>
      </c>
      <c r="J109" s="114" t="n">
        <f aca="false">B109/100*'Feed Ingredients'!G8</f>
        <v>0.088</v>
      </c>
    </row>
    <row r="110" customFormat="false" ht="15" hidden="false" customHeight="true" outlineLevel="0" collapsed="false">
      <c r="A110" s="41" t="s">
        <v>19</v>
      </c>
      <c r="B110" s="65" t="n">
        <v>15</v>
      </c>
      <c r="C110" s="66" t="n">
        <f aca="false">'Feed Ingredients'!C10</f>
        <v>13.8</v>
      </c>
      <c r="D110" s="66" t="n">
        <f aca="false">'Feed Ingredients'!D10</f>
        <v>9</v>
      </c>
      <c r="E110" s="67" t="n">
        <f aca="false">'Feed Ingredients'!H10</f>
        <v>4.8</v>
      </c>
      <c r="F110" s="67" t="n">
        <f aca="false">B110/100*C110</f>
        <v>2.07</v>
      </c>
      <c r="G110" s="67" t="n">
        <f aca="false">B110/100*D110</f>
        <v>1.35</v>
      </c>
      <c r="H110" s="67" t="n">
        <f aca="false">B110/100*E110</f>
        <v>0.72</v>
      </c>
      <c r="I110" s="68" t="n">
        <f aca="false">B110/100*'Feed Ingredients'!F10</f>
        <v>0.0045</v>
      </c>
      <c r="J110" s="68" t="n">
        <f aca="false">B110/100*'Feed Ingredients'!G10</f>
        <v>0.042</v>
      </c>
    </row>
    <row r="111" customFormat="false" ht="15" hidden="false" customHeight="true" outlineLevel="0" collapsed="false">
      <c r="A111" s="50" t="s">
        <v>17</v>
      </c>
      <c r="B111" s="111" t="n">
        <v>5</v>
      </c>
      <c r="C111" s="112" t="n">
        <f aca="false">'Feed Ingredients'!C9</f>
        <v>8.5</v>
      </c>
      <c r="D111" s="112" t="n">
        <f aca="false">'Feed Ingredients'!D9</f>
        <v>18</v>
      </c>
      <c r="E111" s="113" t="n">
        <f aca="false">'Feed Ingredients'!H9</f>
        <v>2.8</v>
      </c>
      <c r="F111" s="113" t="n">
        <f aca="false">B111/100*C111</f>
        <v>0.425</v>
      </c>
      <c r="G111" s="113" t="n">
        <f aca="false">B111/100*D111</f>
        <v>0.9</v>
      </c>
      <c r="H111" s="113" t="n">
        <f aca="false">B111/100*E111</f>
        <v>0.14</v>
      </c>
      <c r="I111" s="114" t="n">
        <f aca="false">B111/100*'Feed Ingredients'!F9</f>
        <v>0.07</v>
      </c>
      <c r="J111" s="114" t="n">
        <f aca="false">B111/100*'Feed Ingredients'!G9</f>
        <v>0.0125</v>
      </c>
    </row>
    <row r="112" customFormat="false" ht="15" hidden="false" customHeight="true" outlineLevel="0" collapsed="false">
      <c r="A112" s="41" t="s">
        <v>23</v>
      </c>
      <c r="B112" s="65" t="n">
        <v>8</v>
      </c>
      <c r="C112" s="66" t="n">
        <f aca="false">'Feed Ingredients'!C13</f>
        <v>11.5</v>
      </c>
      <c r="D112" s="66" t="n">
        <f aca="false">'Feed Ingredients'!D13</f>
        <v>41</v>
      </c>
      <c r="E112" s="67" t="n">
        <f aca="false">'Feed Ingredients'!H13</f>
        <v>6.5</v>
      </c>
      <c r="F112" s="67" t="n">
        <f aca="false">B112/100*C112</f>
        <v>0.92</v>
      </c>
      <c r="G112" s="67" t="n">
        <f aca="false">B112/100*D112</f>
        <v>3.28</v>
      </c>
      <c r="H112" s="67" t="n">
        <f aca="false">B112/100*E112</f>
        <v>0.52</v>
      </c>
      <c r="I112" s="68" t="n">
        <f aca="false">B112/100*'Feed Ingredients'!F13</f>
        <v>0.016</v>
      </c>
      <c r="J112" s="68" t="n">
        <f aca="false">B112/100*'Feed Ingredients'!G13</f>
        <v>0.088</v>
      </c>
    </row>
    <row r="113" customFormat="false" ht="15" hidden="false" customHeight="true" outlineLevel="0" collapsed="false">
      <c r="A113" s="50" t="s">
        <v>22</v>
      </c>
      <c r="B113" s="111" t="n">
        <v>5</v>
      </c>
      <c r="C113" s="112" t="n">
        <f aca="false">'Feed Ingredients'!C12</f>
        <v>10.5</v>
      </c>
      <c r="D113" s="112" t="n">
        <f aca="false">'Feed Ingredients'!D12</f>
        <v>5</v>
      </c>
      <c r="E113" s="113" t="n">
        <f aca="false">'Feed Ingredients'!H12</f>
        <v>2.5</v>
      </c>
      <c r="F113" s="113" t="n">
        <f aca="false">B113/100*C113</f>
        <v>0.525</v>
      </c>
      <c r="G113" s="113" t="n">
        <f aca="false">B113/100*D113</f>
        <v>0.25</v>
      </c>
      <c r="H113" s="113" t="n">
        <f aca="false">B113/100*E113</f>
        <v>0.125</v>
      </c>
      <c r="I113" s="114" t="n">
        <f aca="false">B113/100*'Feed Ingredients'!F12</f>
        <v>0.045</v>
      </c>
      <c r="J113" s="114" t="n">
        <f aca="false">B113/100*'Feed Ingredients'!G12</f>
        <v>0.005</v>
      </c>
    </row>
    <row r="114" customFormat="false" ht="15" hidden="false" customHeight="true" outlineLevel="0" collapsed="false">
      <c r="A114" s="41" t="s">
        <v>25</v>
      </c>
      <c r="B114" s="65" t="n">
        <v>2</v>
      </c>
      <c r="C114" s="66" t="n">
        <f aca="false">'Feed Ingredients'!C14</f>
        <v>10</v>
      </c>
      <c r="D114" s="66" t="n">
        <f aca="false">'Feed Ingredients'!D14</f>
        <v>34</v>
      </c>
      <c r="E114" s="67" t="n">
        <f aca="false">'Feed Ingredients'!H14</f>
        <v>5.8</v>
      </c>
      <c r="F114" s="67" t="n">
        <f aca="false">B114/100*C114</f>
        <v>0.2</v>
      </c>
      <c r="G114" s="67" t="n">
        <f aca="false">B114/100*D114</f>
        <v>0.68</v>
      </c>
      <c r="H114" s="67" t="n">
        <f aca="false">B114/100*E114</f>
        <v>0.116</v>
      </c>
      <c r="I114" s="68" t="n">
        <f aca="false">B114/100*'Feed Ingredients'!F14</f>
        <v>0.007</v>
      </c>
      <c r="J114" s="68" t="n">
        <f aca="false">B114/100*'Feed Ingredients'!G14</f>
        <v>0.02</v>
      </c>
    </row>
    <row r="115" customFormat="false" ht="15" hidden="false" customHeight="true" outlineLevel="0" collapsed="false">
      <c r="A115" s="50" t="s">
        <v>30</v>
      </c>
      <c r="B115" s="111" t="n">
        <v>1.5</v>
      </c>
      <c r="C115" s="112" t="n">
        <f aca="false">'Feed Ingredients'!C18</f>
        <v>0</v>
      </c>
      <c r="D115" s="112" t="n">
        <f aca="false">'Feed Ingredients'!D18</f>
        <v>0</v>
      </c>
      <c r="E115" s="113" t="n">
        <f aca="false">'Feed Ingredients'!H18</f>
        <v>1.2</v>
      </c>
      <c r="F115" s="113" t="n">
        <f aca="false">B115/100*C115</f>
        <v>0</v>
      </c>
      <c r="G115" s="113" t="n">
        <f aca="false">B115/100*D115</f>
        <v>0</v>
      </c>
      <c r="H115" s="113" t="n">
        <f aca="false">B115/100*E115</f>
        <v>0.018</v>
      </c>
      <c r="I115" s="114" t="n">
        <f aca="false">B115/100*'Feed Ingredients'!F18</f>
        <v>0</v>
      </c>
      <c r="J115" s="114" t="n">
        <f aca="false">B115/100*'Feed Ingredients'!G18</f>
        <v>0</v>
      </c>
    </row>
    <row r="116" customFormat="false" ht="15" hidden="false" customHeight="true" outlineLevel="0" collapsed="false">
      <c r="A116" s="41" t="s">
        <v>32</v>
      </c>
      <c r="B116" s="65" t="n">
        <v>1.5</v>
      </c>
      <c r="C116" s="66" t="n">
        <f aca="false">'Feed Ingredients'!C19</f>
        <v>0</v>
      </c>
      <c r="D116" s="66" t="n">
        <f aca="false">'Feed Ingredients'!D19</f>
        <v>0</v>
      </c>
      <c r="E116" s="67" t="n">
        <f aca="false">'Feed Ingredients'!H19</f>
        <v>0.8</v>
      </c>
      <c r="F116" s="67" t="n">
        <f aca="false">B116/100*C116</f>
        <v>0</v>
      </c>
      <c r="G116" s="67" t="n">
        <f aca="false">B116/100*D116</f>
        <v>0</v>
      </c>
      <c r="H116" s="67" t="n">
        <f aca="false">B116/100*E116</f>
        <v>0.012</v>
      </c>
      <c r="I116" s="68" t="n">
        <f aca="false">B116/100*'Feed Ingredients'!F19</f>
        <v>0.57</v>
      </c>
      <c r="J116" s="68" t="n">
        <f aca="false">B116/100*'Feed Ingredients'!G19</f>
        <v>0</v>
      </c>
    </row>
    <row r="117" customFormat="false" ht="15" hidden="false" customHeight="true" outlineLevel="0" collapsed="false">
      <c r="A117" s="50" t="s">
        <v>33</v>
      </c>
      <c r="B117" s="111" t="n">
        <v>1</v>
      </c>
      <c r="C117" s="112" t="n">
        <f aca="false">'Feed Ingredients'!C20</f>
        <v>0</v>
      </c>
      <c r="D117" s="112" t="n">
        <f aca="false">'Feed Ingredients'!D20</f>
        <v>0</v>
      </c>
      <c r="E117" s="113" t="n">
        <f aca="false">'Feed Ingredients'!H20</f>
        <v>12</v>
      </c>
      <c r="F117" s="113" t="n">
        <f aca="false">B117/100*C117</f>
        <v>0</v>
      </c>
      <c r="G117" s="113" t="n">
        <f aca="false">B117/100*D117</f>
        <v>0</v>
      </c>
      <c r="H117" s="113" t="n">
        <f aca="false">B117/100*E117</f>
        <v>0.12</v>
      </c>
      <c r="I117" s="114" t="n">
        <f aca="false">B117/100*'Feed Ingredients'!F20</f>
        <v>0.16</v>
      </c>
      <c r="J117" s="114" t="n">
        <f aca="false">B117/100*'Feed Ingredients'!G20</f>
        <v>0.21</v>
      </c>
    </row>
    <row r="118" customFormat="false" ht="15" hidden="false" customHeight="true" outlineLevel="0" collapsed="false">
      <c r="A118" s="41" t="s">
        <v>34</v>
      </c>
      <c r="B118" s="65" t="n">
        <v>1</v>
      </c>
      <c r="C118" s="66" t="n">
        <f aca="false">'Feed Ingredients'!C21</f>
        <v>0</v>
      </c>
      <c r="D118" s="66" t="n">
        <f aca="false">'Feed Ingredients'!D21</f>
        <v>0</v>
      </c>
      <c r="E118" s="67" t="n">
        <f aca="false">'Feed Ingredients'!H21</f>
        <v>35</v>
      </c>
      <c r="F118" s="67" t="n">
        <f aca="false">B118/100*C118</f>
        <v>0</v>
      </c>
      <c r="G118" s="67" t="n">
        <f aca="false">B118/100*D118</f>
        <v>0</v>
      </c>
      <c r="H118" s="67" t="n">
        <f aca="false">B118/100*E118</f>
        <v>0.35</v>
      </c>
      <c r="I118" s="68" t="n">
        <f aca="false">B118/100*'Feed Ingredients'!F21</f>
        <v>0</v>
      </c>
      <c r="J118" s="68" t="n">
        <f aca="false">B118/100*'Feed Ingredients'!G21</f>
        <v>0</v>
      </c>
    </row>
    <row r="119" customFormat="false" ht="15" hidden="false" customHeight="true" outlineLevel="0" collapsed="false">
      <c r="A119" s="115" t="s">
        <v>229</v>
      </c>
      <c r="B119" s="70" t="n">
        <f aca="false">SUM(B107:B118)</f>
        <v>99</v>
      </c>
      <c r="C119" s="71"/>
      <c r="D119" s="71"/>
      <c r="E119" s="71"/>
      <c r="F119" s="72" t="n">
        <f aca="false">SUM(F107:F118)</f>
        <v>11.576</v>
      </c>
      <c r="G119" s="70" t="n">
        <f aca="false">SUM(G107:G118)</f>
        <v>17.905</v>
      </c>
      <c r="H119" s="73" t="n">
        <f aca="false">SUM(H107:H118)</f>
        <v>4.635</v>
      </c>
      <c r="I119" s="74" t="n">
        <f aca="false">SUM(I107:I118)</f>
        <v>0.946</v>
      </c>
      <c r="J119" s="74" t="n">
        <f aca="false">SUM(J107:J118)</f>
        <v>0.6025</v>
      </c>
    </row>
    <row r="120" customFormat="false" ht="15" hidden="false" customHeight="true" outlineLevel="0" collapsed="false">
      <c r="A120" s="13" t="s">
        <v>230</v>
      </c>
      <c r="B120" s="66" t="n">
        <f aca="false">F119</f>
        <v>11.576</v>
      </c>
      <c r="C120" s="13" t="s">
        <v>231</v>
      </c>
      <c r="D120" s="66" t="n">
        <f aca="false">G119</f>
        <v>17.905</v>
      </c>
      <c r="E120" s="13" t="s">
        <v>232</v>
      </c>
      <c r="F120" s="67" t="n">
        <f aca="false">H119</f>
        <v>4.635</v>
      </c>
      <c r="G120" s="13" t="s">
        <v>233</v>
      </c>
      <c r="H120" s="66" t="n">
        <f aca="false">IF(J119=0,"N/A",I119/J119)</f>
        <v>1.5701244813278</v>
      </c>
    </row>
    <row r="121" customFormat="false" ht="15" hidden="false" customHeight="true" outlineLevel="0" collapsed="false">
      <c r="A121" s="13" t="s">
        <v>234</v>
      </c>
      <c r="B121" s="56" t="n">
        <f aca="false">H119*E105/1000</f>
        <v>2.3175</v>
      </c>
      <c r="C121" s="13" t="s">
        <v>235</v>
      </c>
      <c r="D121" s="56" t="n">
        <f aca="false">B121*G105</f>
        <v>1691.775</v>
      </c>
      <c r="E121" s="13" t="s">
        <v>236</v>
      </c>
      <c r="F121" s="75" t="n">
        <f aca="false">D121*30</f>
        <v>50753.25</v>
      </c>
    </row>
    <row r="122" customFormat="false" ht="15" hidden="false" customHeight="true" outlineLevel="0" collapsed="false">
      <c r="A122" s="13" t="s">
        <v>237</v>
      </c>
      <c r="B122" s="66" t="n">
        <f aca="false">F119*E105/1000</f>
        <v>5.788</v>
      </c>
      <c r="C122" s="13" t="s">
        <v>238</v>
      </c>
      <c r="D122" s="76" t="n">
        <f aca="false">G119*E105/100</f>
        <v>89.525</v>
      </c>
    </row>
  </sheetData>
  <mergeCells count="7">
    <mergeCell ref="A1:K1"/>
    <mergeCell ref="A4:K4"/>
    <mergeCell ref="A24:K24"/>
    <mergeCell ref="A44:K44"/>
    <mergeCell ref="A64:K64"/>
    <mergeCell ref="A84:K84"/>
    <mergeCell ref="A104:K10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2B21"/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6"/>
    <col collapsed="false" customWidth="true" hidden="false" outlineLevel="0" max="7" min="3" style="1" width="20"/>
  </cols>
  <sheetData>
    <row r="1" customFormat="false" ht="19.5" hidden="false" customHeight="true" outlineLevel="0" collapsed="false">
      <c r="A1" s="2" t="s">
        <v>249</v>
      </c>
      <c r="B1" s="2"/>
      <c r="C1" s="2"/>
      <c r="D1" s="2"/>
      <c r="E1" s="2"/>
      <c r="F1" s="2"/>
      <c r="G1" s="2"/>
    </row>
    <row r="2" customFormat="false" ht="15" hidden="false" customHeight="true" outlineLevel="0" collapsed="false">
      <c r="A2" s="3" t="s">
        <v>250</v>
      </c>
    </row>
    <row r="4" customFormat="false" ht="15" hidden="false" customHeight="true" outlineLevel="0" collapsed="false">
      <c r="A4" s="77" t="s">
        <v>251</v>
      </c>
      <c r="B4" s="77"/>
      <c r="C4" s="77"/>
      <c r="D4" s="77"/>
      <c r="E4" s="77"/>
      <c r="F4" s="77"/>
      <c r="G4" s="77"/>
    </row>
    <row r="5" customFormat="false" ht="15" hidden="false" customHeight="true" outlineLevel="0" collapsed="false">
      <c r="A5" s="16" t="s">
        <v>48</v>
      </c>
      <c r="B5" s="16" t="s">
        <v>168</v>
      </c>
      <c r="C5" s="16" t="s">
        <v>252</v>
      </c>
      <c r="D5" s="16" t="s">
        <v>153</v>
      </c>
      <c r="E5" s="16" t="s">
        <v>253</v>
      </c>
      <c r="F5" s="16" t="s">
        <v>254</v>
      </c>
      <c r="G5" s="16" t="s">
        <v>255</v>
      </c>
    </row>
    <row r="6" customFormat="false" ht="15" hidden="false" customHeight="true" outlineLevel="0" collapsed="false">
      <c r="A6" s="116" t="s">
        <v>174</v>
      </c>
      <c r="B6" s="79" t="s">
        <v>175</v>
      </c>
      <c r="C6" s="80" t="n">
        <v>2.5</v>
      </c>
      <c r="D6" s="117" t="n">
        <f aca="false">'Mix Designer'!G5</f>
        <v>250</v>
      </c>
      <c r="E6" s="118" t="n">
        <f aca="false">'Mix Designer'!F21</f>
        <v>10287</v>
      </c>
      <c r="F6" s="118" t="n">
        <f aca="false">E6*C6</f>
        <v>25717.5</v>
      </c>
      <c r="G6" s="119" t="n">
        <f aca="false">IF(F$12=0,0,F6/F$12)</f>
        <v>0.0967765151140984</v>
      </c>
    </row>
    <row r="7" customFormat="false" ht="15" hidden="false" customHeight="true" outlineLevel="0" collapsed="false">
      <c r="A7" s="54" t="s">
        <v>183</v>
      </c>
      <c r="B7" s="41" t="s">
        <v>184</v>
      </c>
      <c r="C7" s="65" t="n">
        <v>1.5</v>
      </c>
      <c r="D7" s="46" t="n">
        <f aca="false">'Mix Designer'!G25</f>
        <v>250</v>
      </c>
      <c r="E7" s="56" t="n">
        <f aca="false">'Mix Designer'!F41</f>
        <v>18018.75</v>
      </c>
      <c r="F7" s="56" t="n">
        <f aca="false">E7*C7</f>
        <v>27028.125</v>
      </c>
      <c r="G7" s="120" t="n">
        <f aca="false">IF(F$12=0,0,F7/F$12)</f>
        <v>0.101708476623631</v>
      </c>
    </row>
    <row r="8" customFormat="false" ht="15" hidden="false" customHeight="true" outlineLevel="0" collapsed="false">
      <c r="A8" s="116" t="s">
        <v>256</v>
      </c>
      <c r="B8" s="79" t="s">
        <v>188</v>
      </c>
      <c r="C8" s="80" t="n">
        <v>1.5</v>
      </c>
      <c r="D8" s="117" t="n">
        <f aca="false">'Mix Designer'!G45</f>
        <v>250</v>
      </c>
      <c r="E8" s="118" t="n">
        <f aca="false">'Mix Designer'!F61</f>
        <v>31854</v>
      </c>
      <c r="F8" s="118" t="n">
        <f aca="false">E8*C8</f>
        <v>47781</v>
      </c>
      <c r="G8" s="119" t="n">
        <f aca="false">IF(F$12=0,0,F8/F$12)</f>
        <v>0.179802806208486</v>
      </c>
    </row>
    <row r="9" customFormat="false" ht="15" hidden="false" customHeight="true" outlineLevel="0" collapsed="false">
      <c r="A9" s="54" t="s">
        <v>193</v>
      </c>
      <c r="B9" s="41" t="s">
        <v>194</v>
      </c>
      <c r="C9" s="65" t="n">
        <v>2</v>
      </c>
      <c r="D9" s="46" t="n">
        <f aca="false">'Mix Designer'!G65</f>
        <v>250</v>
      </c>
      <c r="E9" s="56" t="n">
        <f aca="false">'Mix Designer'!F81</f>
        <v>31854</v>
      </c>
      <c r="F9" s="56" t="n">
        <f aca="false">E9*C9</f>
        <v>63708</v>
      </c>
      <c r="G9" s="120" t="n">
        <f aca="false">IF(F$12=0,0,F9/F$12)</f>
        <v>0.239737074944648</v>
      </c>
    </row>
    <row r="10" customFormat="false" ht="15" hidden="false" customHeight="true" outlineLevel="0" collapsed="false">
      <c r="A10" s="116" t="s">
        <v>197</v>
      </c>
      <c r="B10" s="79" t="s">
        <v>198</v>
      </c>
      <c r="C10" s="80" t="n">
        <v>2</v>
      </c>
      <c r="D10" s="117" t="n">
        <f aca="false">'Mix Designer'!G85</f>
        <v>0</v>
      </c>
      <c r="E10" s="118" t="n">
        <f aca="false">'Mix Designer'!F101</f>
        <v>0</v>
      </c>
      <c r="F10" s="118" t="n">
        <f aca="false">E10*C10</f>
        <v>0</v>
      </c>
      <c r="G10" s="119" t="n">
        <f aca="false">IF(F$12=0,0,F10/F$12)</f>
        <v>0</v>
      </c>
    </row>
    <row r="11" customFormat="false" ht="15" hidden="false" customHeight="true" outlineLevel="0" collapsed="false">
      <c r="A11" s="54" t="s">
        <v>142</v>
      </c>
      <c r="B11" s="41" t="s">
        <v>105</v>
      </c>
      <c r="C11" s="65" t="n">
        <v>2</v>
      </c>
      <c r="D11" s="46" t="n">
        <f aca="false">'Mix Designer'!G105</f>
        <v>730</v>
      </c>
      <c r="E11" s="56" t="n">
        <f aca="false">'Mix Designer'!F121</f>
        <v>50753.25</v>
      </c>
      <c r="F11" s="56" t="n">
        <f aca="false">E11*C11</f>
        <v>101506.5</v>
      </c>
      <c r="G11" s="120" t="n">
        <f aca="false">IF(F$12=0,0,F11/F$12)</f>
        <v>0.381975127109137</v>
      </c>
    </row>
    <row r="12" customFormat="false" ht="15" hidden="false" customHeight="true" outlineLevel="0" collapsed="false">
      <c r="A12" s="121" t="s">
        <v>257</v>
      </c>
      <c r="B12" s="71"/>
      <c r="C12" s="71"/>
      <c r="D12" s="71"/>
      <c r="E12" s="71"/>
      <c r="F12" s="122" t="n">
        <f aca="false">SUM(F6:F11)</f>
        <v>265741.125</v>
      </c>
      <c r="G12" s="71"/>
    </row>
    <row r="14" customFormat="false" ht="15" hidden="false" customHeight="true" outlineLevel="0" collapsed="false">
      <c r="A14" s="47" t="s">
        <v>258</v>
      </c>
      <c r="B14" s="47"/>
      <c r="C14" s="47"/>
      <c r="D14" s="47"/>
      <c r="E14" s="47"/>
      <c r="F14" s="47"/>
      <c r="G14" s="47"/>
    </row>
    <row r="15" customFormat="false" ht="15" hidden="false" customHeight="true" outlineLevel="0" collapsed="false">
      <c r="A15" s="13" t="s">
        <v>259</v>
      </c>
      <c r="B15" s="46" t="n">
        <f aca="false">'Flock Calculator'!B6+'Flock Calculator'!B7</f>
        <v>700</v>
      </c>
    </row>
    <row r="16" customFormat="false" ht="15" hidden="false" customHeight="true" outlineLevel="0" collapsed="false">
      <c r="A16" s="13" t="s">
        <v>260</v>
      </c>
      <c r="B16" s="123" t="n">
        <f aca="false">IF(B15=0,0,F12/B15)</f>
        <v>379.630178571429</v>
      </c>
    </row>
    <row r="17" customFormat="false" ht="15" hidden="false" customHeight="true" outlineLevel="0" collapsed="false">
      <c r="A17" s="13" t="s">
        <v>261</v>
      </c>
      <c r="B17" s="56" t="n">
        <f aca="false">IF('Flock Calculator'!B12=0,0,F12/'Flock Calculator'!B12)</f>
        <v>278.262958115183</v>
      </c>
    </row>
    <row r="18" customFormat="false" ht="15" hidden="false" customHeight="true" outlineLevel="0" collapsed="false">
      <c r="A18" s="13" t="s">
        <v>262</v>
      </c>
      <c r="B18" s="56" t="n">
        <f aca="false">F12/365</f>
        <v>728.057876712329</v>
      </c>
    </row>
  </sheetData>
  <mergeCells count="3">
    <mergeCell ref="A1:G1"/>
    <mergeCell ref="A4:G4"/>
    <mergeCell ref="A14:G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A7C29"/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6"/>
    <col collapsed="false" customWidth="true" hidden="false" outlineLevel="0" max="3" min="3" style="1" width="40"/>
  </cols>
  <sheetData>
    <row r="1" customFormat="false" ht="19.5" hidden="false" customHeight="true" outlineLevel="0" collapsed="false">
      <c r="A1" s="2" t="s">
        <v>263</v>
      </c>
      <c r="B1" s="2"/>
      <c r="C1" s="2"/>
      <c r="D1" s="2"/>
      <c r="E1" s="2"/>
      <c r="F1" s="2"/>
      <c r="G1" s="2"/>
    </row>
    <row r="2" customFormat="false" ht="15" hidden="false" customHeight="true" outlineLevel="0" collapsed="false">
      <c r="A2" s="3" t="s">
        <v>264</v>
      </c>
    </row>
    <row r="4" customFormat="false" ht="15" hidden="false" customHeight="true" outlineLevel="0" collapsed="false">
      <c r="A4" s="26" t="s">
        <v>265</v>
      </c>
      <c r="B4" s="26"/>
      <c r="C4" s="26"/>
      <c r="D4" s="26"/>
      <c r="E4" s="26"/>
      <c r="F4" s="26"/>
      <c r="G4" s="26"/>
    </row>
    <row r="5" customFormat="false" ht="15" hidden="false" customHeight="true" outlineLevel="0" collapsed="false">
      <c r="A5" s="124" t="s">
        <v>266</v>
      </c>
      <c r="B5" s="125" t="s">
        <v>267</v>
      </c>
      <c r="C5" s="124" t="s">
        <v>268</v>
      </c>
    </row>
    <row r="6" customFormat="false" ht="15" hidden="false" customHeight="true" outlineLevel="0" collapsed="false">
      <c r="A6" s="41" t="s">
        <v>269</v>
      </c>
      <c r="B6" s="14" t="n">
        <v>80</v>
      </c>
      <c r="C6" s="42" t="s">
        <v>270</v>
      </c>
    </row>
    <row r="7" customFormat="false" ht="15" hidden="false" customHeight="true" outlineLevel="0" collapsed="false">
      <c r="A7" s="41" t="s">
        <v>271</v>
      </c>
      <c r="B7" s="14" t="n">
        <v>60</v>
      </c>
      <c r="C7" s="42" t="s">
        <v>272</v>
      </c>
    </row>
    <row r="8" customFormat="false" ht="15" hidden="false" customHeight="true" outlineLevel="0" collapsed="false">
      <c r="A8" s="41" t="s">
        <v>273</v>
      </c>
      <c r="B8" s="14" t="n">
        <v>40</v>
      </c>
      <c r="C8" s="42" t="s">
        <v>274</v>
      </c>
    </row>
    <row r="9" customFormat="false" ht="15" hidden="false" customHeight="true" outlineLevel="0" collapsed="false">
      <c r="A9" s="41" t="s">
        <v>275</v>
      </c>
      <c r="B9" s="14" t="n">
        <v>500</v>
      </c>
      <c r="C9" s="42" t="s">
        <v>276</v>
      </c>
    </row>
    <row r="10" customFormat="false" ht="15" hidden="false" customHeight="true" outlineLevel="0" collapsed="false">
      <c r="A10" s="41" t="s">
        <v>277</v>
      </c>
      <c r="B10" s="14" t="n">
        <v>20</v>
      </c>
      <c r="C10" s="42" t="s">
        <v>278</v>
      </c>
    </row>
    <row r="11" customFormat="false" ht="15" hidden="false" customHeight="true" outlineLevel="0" collapsed="false">
      <c r="A11" s="41" t="s">
        <v>279</v>
      </c>
      <c r="B11" s="14" t="n">
        <v>8</v>
      </c>
      <c r="C11" s="42" t="s">
        <v>280</v>
      </c>
    </row>
    <row r="12" customFormat="false" ht="15" hidden="false" customHeight="true" outlineLevel="0" collapsed="false">
      <c r="A12" s="41" t="s">
        <v>281</v>
      </c>
      <c r="B12" s="14" t="n">
        <v>2</v>
      </c>
      <c r="C12" s="42" t="s">
        <v>282</v>
      </c>
    </row>
    <row r="14" customFormat="false" ht="15" hidden="false" customHeight="true" outlineLevel="0" collapsed="false">
      <c r="A14" s="47" t="s">
        <v>283</v>
      </c>
      <c r="B14" s="47"/>
      <c r="C14" s="47"/>
      <c r="D14" s="47"/>
      <c r="E14" s="47"/>
      <c r="F14" s="47"/>
      <c r="G14" s="47"/>
    </row>
    <row r="15" customFormat="false" ht="15" hidden="false" customHeight="true" outlineLevel="0" collapsed="false">
      <c r="A15" s="3" t="s">
        <v>284</v>
      </c>
    </row>
    <row r="16" customFormat="false" ht="15" hidden="false" customHeight="true" outlineLevel="0" collapsed="false">
      <c r="A16" s="124" t="s">
        <v>285</v>
      </c>
      <c r="B16" s="45" t="n">
        <f aca="false">B9/B11</f>
        <v>62.5</v>
      </c>
    </row>
    <row r="17" customFormat="false" ht="15" hidden="false" customHeight="true" outlineLevel="0" collapsed="false">
      <c r="A17" s="54" t="s">
        <v>286</v>
      </c>
      <c r="B17" s="46" t="n">
        <f aca="false">B16*4</f>
        <v>250</v>
      </c>
    </row>
    <row r="18" customFormat="false" ht="15" hidden="false" customHeight="true" outlineLevel="0" collapsed="false">
      <c r="A18" s="124" t="s">
        <v>287</v>
      </c>
      <c r="B18" s="45" t="n">
        <f aca="false">(B6+B7)/B12</f>
        <v>70</v>
      </c>
    </row>
    <row r="19" customFormat="false" ht="15" hidden="false" customHeight="true" outlineLevel="0" collapsed="false">
      <c r="A19" s="54" t="s">
        <v>288</v>
      </c>
      <c r="B19" s="46" t="n">
        <f aca="false">B18*4</f>
        <v>280</v>
      </c>
    </row>
    <row r="20" customFormat="false" ht="15" hidden="false" customHeight="true" outlineLevel="0" collapsed="false">
      <c r="A20" s="124" t="s">
        <v>289</v>
      </c>
      <c r="B20" s="45" t="n">
        <f aca="false">B17+B19</f>
        <v>530</v>
      </c>
    </row>
    <row r="21" customFormat="false" ht="15" hidden="false" customHeight="true" outlineLevel="0" collapsed="false">
      <c r="A21" s="54" t="s">
        <v>290</v>
      </c>
      <c r="B21" s="46" t="n">
        <f aca="false">'Flock Calculator'!B6+'Flock Calculator'!B7+'Flock Calculator'!B9</f>
        <v>900</v>
      </c>
    </row>
    <row r="22" customFormat="false" ht="15" hidden="false" customHeight="true" outlineLevel="0" collapsed="false">
      <c r="A22" s="124" t="s">
        <v>291</v>
      </c>
      <c r="B22" s="45" t="n">
        <f aca="false">B20-B21</f>
        <v>-370</v>
      </c>
    </row>
  </sheetData>
  <mergeCells count="3">
    <mergeCell ref="A1:G1"/>
    <mergeCell ref="A4:G4"/>
    <mergeCell ref="A14:G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2026-02-16T12:11:06Z</dcterms:created>
  <dc:creator>openpyxl</dc:creator>
  <dc:description/>
  <dc:language>en-US</dc:language>
  <cp:lastModifiedBy/>
  <dcterms:modified xsi:type="dcterms:W3CDTF">2026-04-07T10:55:31Z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